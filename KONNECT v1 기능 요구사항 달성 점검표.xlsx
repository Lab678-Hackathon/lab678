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 점검표_v1" sheetId="1" r:id="rId5"/>
    <sheet state="visible" name="후속 점검 계획(가안)" sheetId="2" r:id="rId6"/>
  </sheets>
  <definedNames>
    <definedName hidden="1" localSheetId="1" name="_xlnm._FilterDatabase">'후속 점검 계획(가안)'!$A$6:$H$13</definedName>
    <definedName hidden="1" localSheetId="0" name="Z_F1139BB5_BDC1_4214_B35F_C1E592A60C72_.wvu.FilterData">'기능 점검표_v1'!$A$15:$J$40</definedName>
    <definedName hidden="1" localSheetId="0" name="Z_F0FC89C1_4905_4FD4_A073_FE4E28A8B623_.wvu.FilterData">'기능 점검표_v1'!$A$15:$J$40</definedName>
    <definedName hidden="1" localSheetId="0" name="Z_DABFD473_5028_4312_9BF3_1ACEE5CA6811_.wvu.FilterData">'기능 점검표_v1'!$A$15:$J$40</definedName>
  </definedNames>
  <calcPr/>
  <customWorkbookViews>
    <customWorkbookView activeSheetId="0" maximized="1" windowHeight="0" windowWidth="0" guid="{F1139BB5-BDC1-4214-B35F-C1E592A60C72}" name="후속 검증"/>
    <customWorkbookView activeSheetId="0" maximized="1" windowHeight="0" windowWidth="0" guid="{F0FC89C1-4905-4FD4-A073-FE4E28A8B623}" name="KonnectV1Checklist filter view"/>
    <customWorkbookView activeSheetId="0" maximized="1" windowHeight="0" windowWidth="0" guid="{DABFD473-5028-4312-9BF3-1ACEE5CA6811}" name="1차 검증"/>
  </customWorkbookViews>
</workbook>
</file>

<file path=xl/sharedStrings.xml><?xml version="1.0" encoding="utf-8"?>
<sst xmlns="http://schemas.openxmlformats.org/spreadsheetml/2006/main" count="315" uniqueCount="246">
  <si>
    <t>KONNECT · 후속 점검 계획(가안)</t>
  </si>
  <si>
    <t>조회·협의용 | 후속 검증 후보 7개 | 실제 QA 수행·검토·판정은 「기능 점검표_v1」에서 관리 | QA-C02는 1차·후속 공통 1개 항목</t>
  </si>
  <si>
    <t>후속 7개는 공식 2차 평가의 확정 범위가 아닙니다. 실제 범위·시점·추가 개발 여부는 세 명이 1차 결과를 보고 협의합니다.</t>
  </si>
  <si>
    <t>1차에서 미충족·부분 충족 또는 P0 위험이 발견되면 우선 조치·재검증합니다. 후속 대상이라는 이유로 v1 필수 기능을 제외하지 않습니다.</t>
  </si>
  <si>
    <t>이 탭은 후속 후보 7개를 조회하고 범위·일정을 협의하는 곳입니다. 실제 QA 테스트·담당자별 검토·최종 판정은 「기능 점검표_v1」에서 진행·기록합니다. 이 탭 B~F·H열은 원본 자동 조회이므로 수정하지 않고, G열만 협의 메모를 작성합니다. F열에는 일반 6개 QA의 원본 J열 최종 결과가 표시되며, QA-C02만 원본 F열의 ‘후속’ 단계 결과가 표시됩니다. 결과 수정은 항상 원본에서 합니다. AI 공동 편집 시에도 후속 탭의 조회 수식·연동·기본 구조는 변경하지 않고, 개선 사항은 팀에 먼저 제안합니다.</t>
  </si>
  <si>
    <t>점검 ID</t>
  </si>
  <si>
    <t>중요도</t>
  </si>
  <si>
    <t>관련 화면·흐름</t>
  </si>
  <si>
    <t>사용자 관점 요구사항</t>
  </si>
  <si>
    <t>후속 확인 방법·기대 결과</t>
  </si>
  <si>
    <t>원본 연동 결과</t>
  </si>
  <si>
    <t>후속 협의(범위·일정)</t>
  </si>
  <si>
    <t>원본 QA 이동</t>
  </si>
  <si>
    <t>QA-A09</t>
  </si>
  <si>
    <t>KONNECT 기능 요구사항 달성 점검표_v1</t>
  </si>
  <si>
    <t>E 테스트 → G~I 기록 → F 문제 → J 팀장 판정 | AI 기본틀 변경 전 협의</t>
  </si>
  <si>
    <t>고유 QA</t>
  </si>
  <si>
    <t>복합 자연어·기존 일정의 심화 범위는 1차 결과를 보고 확정</t>
  </si>
  <si>
    <t>원본 항목 보기</t>
  </si>
  <si>
    <t>1차 점검</t>
  </si>
  <si>
    <t>후속 점검</t>
  </si>
  <si>
    <t>QA-A10</t>
  </si>
  <si>
    <t>1차·후속 공통</t>
  </si>
  <si>
    <t>QA-C02</t>
  </si>
  <si>
    <t>운영 기준</t>
  </si>
  <si>
    <t>상단 + 펼치기</t>
  </si>
  <si>
    <r>
      <rPr>
        <rFont val="Arial"/>
        <b/>
        <color rgb="FF202124"/>
        <sz val="11.0"/>
      </rPr>
      <t>목적:</t>
    </r>
    <r>
      <rPr>
        <rFont val="Arial"/>
        <b val="0"/>
        <color rgb="FF202124"/>
        <sz val="11.0"/>
      </rPr>
      <t xml:space="preserve"> v1 기능 동작·기획 요구사항을 공동 점검합니다. </t>
    </r>
    <r>
      <rPr>
        <rFont val="Arial"/>
        <b/>
        <color rgb="FF202124"/>
        <sz val="11.0"/>
      </rPr>
      <t>기준:</t>
    </r>
    <r>
      <rPr>
        <rFont val="Arial"/>
        <b val="0"/>
        <color rgb="FF202124"/>
        <sz val="11.0"/>
      </rPr>
      <t xml:space="preserve"> </t>
    </r>
    <r>
      <rPr>
        <rFont val="Arial"/>
        <b/>
        <color rgb="FF202124"/>
        <sz val="11.0"/>
      </rPr>
      <t>승인된 25개 시나리오</t>
    </r>
    <r>
      <rPr>
        <rFont val="Arial"/>
        <b val="0"/>
        <color rgb="FF202124"/>
        <sz val="11.0"/>
      </rPr>
      <t>·2026-10-08 UX/UI 인계. 작성일: 2026-10-09.</t>
    </r>
  </si>
  <si>
    <r>
      <rPr>
        <rFont val="Arial"/>
        <b/>
        <color rgb="FF202124"/>
        <sz val="11.0"/>
      </rPr>
      <t>10/8 협의:</t>
    </r>
    <r>
      <rPr>
        <rFont val="Arial"/>
        <b val="0"/>
        <color rgb="FF202124"/>
        <sz val="11.0"/>
      </rPr>
      <t xml:space="preserve"> </t>
    </r>
    <r>
      <rPr>
        <rFont val="Arial"/>
        <b/>
        <color rgb="FF202124"/>
        <sz val="11.0"/>
      </rPr>
      <t>A 완성도 우선</t>
    </r>
    <r>
      <rPr>
        <rFont val="Arial"/>
        <b val="0"/>
        <color rgb="FF202124"/>
        <sz val="11.0"/>
      </rPr>
      <t xml:space="preserve">. 10/12 v1 배포 목표, 10/13 팀 평가·멘토링 예정입니다. </t>
    </r>
    <r>
      <rPr>
        <rFont val="Arial"/>
        <b/>
        <color rgb="FF202124"/>
        <sz val="11.0"/>
      </rPr>
      <t>실제 구현·배포 완료 여부는 아직 확인하지 않았습니다.</t>
    </r>
  </si>
  <si>
    <r>
      <rPr>
        <rFont val="Arial"/>
        <b/>
        <i val="0"/>
        <color rgb="FF2B3A4C"/>
        <sz val="11.0"/>
      </rPr>
      <t>최종 판정(J열, 팀장 용택님)</t>
    </r>
    <r>
      <rPr>
        <rFont val="Arial"/>
        <b val="0"/>
        <i val="0"/>
        <color rgb="FF2B3A4C"/>
        <sz val="11.0"/>
      </rPr>
      <t xml:space="preserve">: G~I열의 해당 담당자 </t>
    </r>
    <r>
      <rPr>
        <rFont val="Arial"/>
        <b/>
        <i val="0"/>
        <color rgb="FF2B3A4C"/>
        <sz val="11.0"/>
      </rPr>
      <t>검토 결과와 확인 내용</t>
    </r>
    <r>
      <rPr>
        <rFont val="Arial"/>
        <b val="0"/>
        <i val="0"/>
        <color rgb="FF2B3A4C"/>
        <sz val="11.0"/>
      </rPr>
      <t xml:space="preserve"> 및 E열 실제 테스트를 종합합니다. 필수 </t>
    </r>
    <r>
      <rPr>
        <rFont val="Arial"/>
        <b/>
        <i val="0"/>
        <color rgb="FF2B3A4C"/>
        <sz val="11.0"/>
      </rPr>
      <t>Product·UX·Tech 기준</t>
    </r>
    <r>
      <rPr>
        <rFont val="Arial"/>
        <b val="0"/>
        <i val="0"/>
        <color rgb="FF2B3A4C"/>
        <sz val="11.0"/>
      </rPr>
      <t xml:space="preserve">이 모두 확인된 경우에만 ‘충족’으로 판정합니다. 일부 조건만 충족하면 ‘부분 충족’, 필수 결과를 만족하지 못하면 ‘미충족’, 미실행·확인 내용 부족·의견 미해결은 ‘미확인’으로 둡니다. ‘범위 제외’는 팀에서 v1 제외를 확인한 경우만 사용합니다. </t>
    </r>
    <r>
      <rPr>
        <rFont val="Arial"/>
        <b/>
        <i val="0"/>
        <color rgb="FF2B3A4C"/>
        <sz val="11.0"/>
      </rPr>
      <t>AI 검토 의견만으로 ‘충족’ 처리하지 않습니다.</t>
    </r>
  </si>
  <si>
    <t>위치 정확도와 경로정보 제공 수준을 Tech와 확인</t>
  </si>
  <si>
    <r>
      <rPr>
        <rFont val="Arial"/>
        <b/>
        <color rgb="FF202124"/>
        <sz val="11.0"/>
      </rPr>
      <t>중요도(P=실패 시 영향도):</t>
    </r>
    <r>
      <rPr>
        <rFont val="Arial"/>
        <b val="0"/>
        <color rgb="FF202124"/>
        <sz val="11.0"/>
      </rPr>
      <t xml:space="preserve"> </t>
    </r>
    <r>
      <rPr>
        <rFont val="Arial"/>
        <b/>
        <color rgb="FF202124"/>
        <sz val="11.0"/>
      </rPr>
      <t>P0 치명적</t>
    </r>
    <r>
      <rPr>
        <rFont val="Arial"/>
        <b val="0"/>
        <color rgb="FF202124"/>
        <sz val="11.0"/>
      </rPr>
      <t xml:space="preserve">(핵심 사용 불가·잘못된 추천·선택 손실) / </t>
    </r>
    <r>
      <rPr>
        <rFont val="Arial"/>
        <b/>
        <color rgb="FF202124"/>
        <sz val="11.0"/>
      </rPr>
      <t>P1 주요</t>
    </r>
    <r>
      <rPr>
        <rFont val="Arial"/>
        <b val="0"/>
        <color rgb="FF202124"/>
        <sz val="11.0"/>
      </rPr>
      <t xml:space="preserve">(주요 기능·사용 흐름 문제) / </t>
    </r>
    <r>
      <rPr>
        <rFont val="Arial"/>
        <b/>
        <color rgb="FF202124"/>
        <sz val="11.0"/>
      </rPr>
      <t>P2 경미</t>
    </r>
    <r>
      <rPr>
        <rFont val="Arial"/>
        <b val="0"/>
        <color rgb="FF202124"/>
        <sz val="11.0"/>
      </rPr>
      <t xml:space="preserve">(세부 사용성·안정성). </t>
    </r>
    <r>
      <rPr>
        <rFont val="Arial"/>
        <b/>
        <color rgb="FF202124"/>
        <sz val="11.0"/>
      </rPr>
      <t>P등급은 발견된 오류가 아니라 사전 위험도입니다.</t>
    </r>
    <r>
      <rPr>
        <rFont val="Arial"/>
        <b val="0"/>
        <color rgb="FF202124"/>
        <sz val="11.0"/>
      </rPr>
      <t xml:space="preserve"> </t>
    </r>
    <r>
      <rPr>
        <rFont val="Arial"/>
        <b/>
        <color rgb="FF202124"/>
        <sz val="11.0"/>
      </rPr>
      <t>1차/후속은 점검 시점</t>
    </r>
    <r>
      <rPr>
        <rFont val="Arial"/>
        <b val="0"/>
        <color rgb="FF202124"/>
        <sz val="11.0"/>
      </rPr>
      <t>이며, v1에 노출된 P0 위험은 1차에 우선 확인합니다.</t>
    </r>
  </si>
  <si>
    <t>QA-B06</t>
  </si>
  <si>
    <r>
      <rPr>
        <rFont val="Arial"/>
        <b/>
        <i val="0"/>
        <color rgb="FF303A49"/>
        <sz val="11.0"/>
      </rPr>
      <t>작성 순서:</t>
    </r>
    <r>
      <rPr>
        <rFont val="Arial"/>
        <b val="0"/>
        <i val="0"/>
        <color rgb="FF303A49"/>
        <sz val="11.0"/>
      </rPr>
      <t xml:space="preserve"> E열 공통 테스트 → G~I열에서 각자 ‘확인 기준’을 읽고 </t>
    </r>
    <r>
      <rPr>
        <rFont val="Arial"/>
        <b/>
        <i val="0"/>
        <color rgb="FF303A49"/>
        <sz val="11.0"/>
      </rPr>
      <t>‘검토 결과’와 ‘확인 내용’</t>
    </r>
    <r>
      <rPr>
        <rFont val="Arial"/>
        <b val="0"/>
        <i val="0"/>
        <color rgb="FF303A49"/>
        <sz val="11.0"/>
      </rPr>
      <t xml:space="preserve"> 작성 → F열에 공통 문제·후속 조치 정리 → 용택님이 </t>
    </r>
    <r>
      <rPr>
        <rFont val="Arial"/>
        <b/>
        <i val="0"/>
        <color rgb="FF303A49"/>
        <sz val="11.0"/>
      </rPr>
      <t>J열 최종 판정</t>
    </r>
    <r>
      <rPr>
        <rFont val="Arial"/>
        <b val="0"/>
        <i val="0"/>
        <color rgb="FF303A49"/>
        <sz val="11.0"/>
      </rPr>
      <t xml:space="preserve">. G~I열의 확인 기준은 지우지 않습니다. 검토 결과는 ‘확인 완료 / 문제 발견 / 확인 불가’로 간단히 기록하고, 미실행은 ‘미실시’로 둡니다. </t>
    </r>
    <r>
      <rPr>
        <rFont val="Arial"/>
        <b/>
        <i val="0"/>
        <color rgb="FF303A49"/>
        <sz val="11.0"/>
      </rPr>
      <t>확인 내용에는</t>
    </r>
    <r>
      <rPr>
        <rFont val="Arial"/>
        <b val="0"/>
        <i val="0"/>
        <color rgb="FF303A49"/>
        <sz val="11.0"/>
      </rPr>
      <t xml:space="preserve"> 정상 사례는 확인한 사실 한 줄, 문제는 발생 조건·현상, 확인 불가는 이유를 적습니다. 화면·로그·이슈 링크는 중요한 오류나 판단이 엇갈리는 경우에 추가하면 됩니다. F열 참고사항은 유지하고 공통 문제가 없다면 ‘특이사항 없음’으로 기록합니다. </t>
    </r>
    <r>
      <rPr>
        <rFont val="Arial"/>
        <b/>
        <i val="0"/>
        <color rgb="FF303A49"/>
        <sz val="11.0"/>
      </rPr>
      <t>QA-C02</t>
    </r>
    <r>
      <rPr>
        <rFont val="Arial"/>
        <b val="0"/>
        <i val="0"/>
        <color rgb="FF303A49"/>
        <sz val="11.0"/>
      </rPr>
      <t xml:space="preserve">의 단계별 결과는 F열 상단에서 관리합니다.
</t>
    </r>
    <r>
      <rPr>
        <rFont val="Arial"/>
        <b/>
        <i val="0"/>
        <color rgb="FF303A49"/>
        <sz val="11.0"/>
      </rPr>
      <t>AI 공동 편집 주의:</t>
    </r>
    <r>
      <rPr>
        <rFont val="Arial"/>
        <b val="0"/>
        <i val="0"/>
        <color rgb="FF303A49"/>
        <sz val="11.0"/>
      </rPr>
      <t xml:space="preserve"> 이 시트는 공동 QA 기준본입니다. 개인 검토는 G~I열의 각자 ‘검토 결과·확인 내용’에, 공통 문제는 F열 ‘공통 문제·후속 조치’에 기록하고 기존 검증 기준·참고 문구를 유지합니다. J열 최종 판정은 팀장 관리입니다. </t>
    </r>
    <r>
      <rPr>
        <rFont val="Arial"/>
        <b/>
        <i val="0"/>
        <color rgb="FF303A49"/>
        <sz val="11.0"/>
      </rPr>
      <t>QA ID·단계·중요도·기본 행/열·기대 결과·담당자별 확인 기준·수식·드롭다운·필터·후속 연동</t>
    </r>
    <r>
      <rPr>
        <rFont val="Arial"/>
        <b val="0"/>
        <i val="0"/>
        <color rgb="FF303A49"/>
        <sz val="11.0"/>
      </rPr>
      <t xml:space="preserve">은 AI가 임의로 추가·삭제·변경하지 마세요. </t>
    </r>
    <r>
      <rPr>
        <rFont val="Arial"/>
        <b/>
        <i val="0"/>
        <color rgb="FF303A49"/>
        <sz val="11.0"/>
      </rPr>
      <t>구조·기준의 변경이 필요하면 먼저 팀에 제안해 합의한 뒤 반영합니다.</t>
    </r>
  </si>
  <si>
    <r>
      <rPr>
        <rFont val="Arial"/>
        <b/>
        <color rgb="FF202124"/>
        <sz val="11.0"/>
      </rPr>
      <t>후속은 공식 2차 평가 범위 확정안이 아닙니다</t>
    </r>
    <r>
      <rPr>
        <rFont val="Arial"/>
        <b val="0"/>
        <color rgb="FF202124"/>
        <sz val="11.0"/>
      </rPr>
      <t xml:space="preserve">. 1차 결과·용택님 개발 계획·희영님 UX 개선을 바탕으로 팀에서 협의합니다. 포함됐다는 이유로 </t>
    </r>
    <r>
      <rPr>
        <rFont val="Arial"/>
        <b/>
        <color rgb="FF202124"/>
        <sz val="11.0"/>
      </rPr>
      <t>신규 개발·MVP 변경이 확정되지 않습니다</t>
    </r>
    <r>
      <rPr>
        <rFont val="Arial"/>
        <b val="0"/>
        <color rgb="FF202124"/>
        <sz val="11.0"/>
      </rPr>
      <t>.</t>
    </r>
  </si>
  <si>
    <r>
      <rPr>
        <rFont val="Arial"/>
        <b/>
        <i val="0"/>
        <color rgb="FF2B3A4C"/>
        <sz val="11.0"/>
      </rPr>
      <t>역할:</t>
    </r>
    <r>
      <rPr>
        <rFont val="Arial"/>
        <b val="0"/>
        <i val="0"/>
        <color rgb="FF303A49"/>
        <sz val="11.0"/>
      </rPr>
      <t xml:space="preserve"> 민규(Product)는 기획 요구사항·결과 정확성을 </t>
    </r>
    <r>
      <rPr>
        <rFont val="Arial"/>
        <b/>
        <i val="0"/>
        <color rgb="FF2B3A4C"/>
        <sz val="11.0"/>
      </rPr>
      <t>G열</t>
    </r>
    <r>
      <rPr>
        <rFont val="Arial"/>
        <b val="0"/>
        <i val="0"/>
        <color rgb="FF303A49"/>
        <sz val="11.0"/>
      </rPr>
      <t xml:space="preserve">에, 희영님(UX/UI)은 사용자 이해·흐름을 </t>
    </r>
    <r>
      <rPr>
        <rFont val="Arial"/>
        <b/>
        <i val="0"/>
        <color rgb="FF2B3A4C"/>
        <sz val="11.0"/>
      </rPr>
      <t>H열</t>
    </r>
    <r>
      <rPr>
        <rFont val="Arial"/>
        <b val="0"/>
        <i val="0"/>
        <color rgb="FF303A49"/>
        <sz val="11.0"/>
      </rPr>
      <t xml:space="preserve">에, 용택님(Tech)은 실제 구현·예외 동작을 </t>
    </r>
    <r>
      <rPr>
        <rFont val="Arial"/>
        <b/>
        <i val="0"/>
        <color rgb="FF2B3A4C"/>
        <sz val="11.0"/>
      </rPr>
      <t>I열</t>
    </r>
    <r>
      <rPr>
        <rFont val="Arial"/>
        <b val="0"/>
        <i val="0"/>
        <color rgb="FF303A49"/>
        <sz val="11.0"/>
      </rPr>
      <t xml:space="preserve">에 검토 결과와 확인 내용으로 작성합니다. 비대상 ‘—’ 셀은 건드리지 않습니다. 팀장 용택님은 세 사람의 검토를 종합해 </t>
    </r>
    <r>
      <rPr>
        <rFont val="Arial"/>
        <b/>
        <i val="0"/>
        <color rgb="FF2B3A4C"/>
        <sz val="11.0"/>
      </rPr>
      <t>J열을 최종 관리</t>
    </r>
    <r>
      <rPr>
        <rFont val="Arial"/>
        <b val="0"/>
        <i val="0"/>
        <color rgb="FF303A49"/>
        <sz val="11.0"/>
      </rPr>
      <t>하며, Product 기준에 이견이 남으면 민규님과 협의하고 UX·Tech 쟁점도 담당자 확인 후 판정합니다.</t>
    </r>
  </si>
  <si>
    <t>기획 원본 링크</t>
  </si>
  <si>
    <t>재구성 구현·일정 및 성공 사례 점검 범위 협의</t>
  </si>
  <si>
    <t>QA-B07</t>
  </si>
  <si>
    <t>UX·인계 링크</t>
  </si>
  <si>
    <t>지정 원본 11개 접근 확인</t>
  </si>
  <si>
    <r>
      <rPr>
        <rFont val="Arial"/>
        <b/>
        <color rgb="FF202124"/>
        <sz val="11.0"/>
      </rPr>
      <t>원본 차이:</t>
    </r>
    <r>
      <rPr>
        <rFont val="Arial"/>
        <b val="0"/>
        <color rgb="FF202124"/>
        <sz val="11.0"/>
      </rPr>
      <t xml:space="preserve"> Product README에는 </t>
    </r>
    <r>
      <rPr>
        <rFont val="Arial"/>
        <b/>
        <color rgb="FF202124"/>
        <sz val="11.0"/>
      </rPr>
      <t>P-09 걷기 단독 체크박스</t>
    </r>
    <r>
      <rPr>
        <rFont val="Arial"/>
        <b val="0"/>
        <color rgb="FF202124"/>
        <sz val="11.0"/>
      </rPr>
      <t xml:space="preserve"> 기준이 남아 있습니다. 이 표는 승인안·05·10/8 인계의 </t>
    </r>
    <r>
      <rPr>
        <rFont val="Arial"/>
        <b/>
        <color rgb="FF202124"/>
        <sz val="11.0"/>
      </rPr>
      <t>관심사 + 추가 선호 자유입력 → AI 해석 확인·수정 → 저장</t>
    </r>
    <r>
      <rPr>
        <rFont val="Arial"/>
        <b val="0"/>
        <color rgb="FF202124"/>
        <sz val="11.0"/>
      </rPr>
      <t>을 적용합니다.</t>
    </r>
  </si>
  <si>
    <t>v1에 재구성 기능이 노출되면 1차 QA-B05에서 선택 보존 우선 확인</t>
  </si>
  <si>
    <r>
      <rPr>
        <rFont val="Arial"/>
        <b/>
        <i val="0"/>
        <color rgb="FF2B3A4C"/>
        <sz val="11.0"/>
      </rPr>
      <t>검증 준비:</t>
    </r>
    <r>
      <rPr>
        <rFont val="Arial"/>
        <b val="0"/>
        <i val="0"/>
        <color rgb="FF303A49"/>
        <sz val="11.0"/>
      </rPr>
      <t xml:space="preserve"> 동일한 앱 버전과 테스트 환경을 사용하고, </t>
    </r>
    <r>
      <rPr>
        <rFont val="Arial"/>
        <b/>
        <i val="0"/>
        <color rgb="FF2B3A4C"/>
        <sz val="11.0"/>
      </rPr>
      <t>G~I 담당자는</t>
    </r>
    <r>
      <rPr>
        <rFont val="Arial"/>
        <b val="0"/>
        <i val="0"/>
        <color rgb="FF303A49"/>
        <sz val="11.0"/>
      </rPr>
      <t xml:space="preserve"> 실제 확인한 내용이나 문제를 한두 줄로 작성합니다. </t>
    </r>
    <r>
      <rPr>
        <rFont val="Arial"/>
        <b/>
        <i val="0"/>
        <color rgb="FF2B3A4C"/>
        <sz val="11.0"/>
      </rPr>
      <t>중요한 문제나 판정 이견</t>
    </r>
    <r>
      <rPr>
        <rFont val="Arial"/>
        <b val="0"/>
        <i val="0"/>
        <color rgb="FF303A49"/>
        <sz val="11.0"/>
      </rPr>
      <t xml:space="preserve">이 있을 때 입력조건·환경·화면/이슈 링크를 추가합니다. </t>
    </r>
    <r>
      <rPr>
        <rFont val="Arial"/>
        <b/>
        <i val="0"/>
        <color rgb="FF2B3A4C"/>
        <sz val="11.0"/>
      </rPr>
      <t>F열</t>
    </r>
    <r>
      <rPr>
        <rFont val="Arial"/>
        <b val="0"/>
        <i val="0"/>
        <color rgb="FF303A49"/>
        <sz val="11.0"/>
      </rPr>
      <t>에는 공통 주의사항을 유지하고 해결이 필요한 문제·조치를 요약합니다. A 대표 조건은 시간·운영 / 무료·예산·가격 미확인 / 걷기 선호·제외조건이며, A06 정보 2사례·A07 0건·A08 저장과 B 대표 루트 1건을 재사용합니다. AI 1차 검토 후 실제 사용 검증을 통해 최종 판정하며 전체 데이터 전수검사는 요구하지 않습니다.</t>
    </r>
  </si>
  <si>
    <t>QA-P05</t>
  </si>
  <si>
    <t>점검 단계·중요도</t>
  </si>
  <si>
    <t>실제 확인 방법·기대 결과</t>
  </si>
  <si>
    <t>비고·후속 조치</t>
  </si>
  <si>
    <t>민규 · Product</t>
  </si>
  <si>
    <t>희영님 · UX/UI</t>
  </si>
  <si>
    <t>용택님 · Tech</t>
  </si>
  <si>
    <t>최종 점검 결과</t>
  </si>
  <si>
    <t>QA-A01</t>
  </si>
  <si>
    <t>B 첫 생성·확정 비회원 허용은 1차 QA-B01·B05에서 확인</t>
  </si>
  <si>
    <t>1차/P0</t>
  </si>
  <si>
    <t>LF-02 → LF-03
필수 입력·정상 요청</t>
  </si>
  <si>
    <r>
      <rPr>
        <rFont val="Arial"/>
        <b/>
        <color rgb="FF202124"/>
        <sz val="11.0"/>
      </rPr>
      <t>출발점·시작 시각·종료 시각</t>
    </r>
    <r>
      <rPr>
        <rFont val="Arial"/>
        <b val="0"/>
        <color rgb="FF202124"/>
        <sz val="11.0"/>
      </rPr>
      <t>을 입력하여 A 추천을 요청할 수 있어야 합니다.</t>
    </r>
  </si>
  <si>
    <r>
      <rPr>
        <rFont val="Arial"/>
        <b/>
        <color rgb="FF202124"/>
        <sz val="11.0"/>
      </rPr>
      <t>유효한 위치·시간</t>
    </r>
    <r>
      <rPr>
        <rFont val="Arial"/>
        <b val="0"/>
        <color rgb="FF202124"/>
        <sz val="11.0"/>
      </rPr>
      <t xml:space="preserve">을 입력하고 결과까지 진행해주세요.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현재 위치·시각 기본값을 수정할 수 있고, 종료 시각은 사용자가 지정하며 입력 조건이 실제 추천 요청에 반영됩니다.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</si>
  <si>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종료 시각에는 자동 기본값이 없으며, 시작 시각을 변경해도 종료 시각을 임의로 연장하지 않습니다.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</si>
  <si>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출발점·시작·종료 시각이 정해진 정책대로 사용되고, 종료 시각을 임의로 설정하지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</si>
  <si>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—</t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</si>
  <si>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사용자가 수정한 출발점·시간이 추천 요청에 전달되고 결과 생성에 반영되는지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</si>
  <si>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미확인</t>
  </si>
  <si>
    <t>1차 대표 오류 1건 확인 후 AI·API·네트워크 유형별 상세 점검. 원본 F열에 1차·후속 결과 구분</t>
  </si>
  <si>
    <t>QA-C03</t>
  </si>
  <si>
    <t>QA-A02</t>
  </si>
  <si>
    <t>1차/P1</t>
  </si>
  <si>
    <t>LF-02
시간 오류·위치 권한 거부</t>
  </si>
  <si>
    <r>
      <rPr>
        <rFont val="Arial"/>
        <b/>
        <color rgb="FF202124"/>
        <sz val="11.0"/>
      </rPr>
      <t>시간 오류나 위치 권한 문제</t>
    </r>
    <r>
      <rPr>
        <rFont val="Arial"/>
        <b val="0"/>
        <color rgb="FF202124"/>
        <sz val="11.0"/>
      </rPr>
      <t>를 수정하고 다시 진행할 수 있어야 합니다.</t>
    </r>
  </si>
  <si>
    <r>
      <rPr>
        <rFont val="Arial"/>
        <b/>
        <color rgb="FF202124"/>
        <sz val="11.0"/>
      </rPr>
      <t>30분 미만</t>
    </r>
    <r>
      <rPr>
        <rFont val="Arial"/>
        <b val="0"/>
        <color rgb="FF202124"/>
        <sz val="11.0"/>
      </rPr>
      <t xml:space="preserve">, 시작·종료 시각 오류, </t>
    </r>
    <r>
      <rPr>
        <rFont val="Arial"/>
        <b/>
        <color rgb="FF202124"/>
        <sz val="11.0"/>
      </rPr>
      <t>위치 권한 거부</t>
    </r>
    <r>
      <rPr>
        <rFont val="Arial"/>
        <b val="0"/>
        <color rgb="FF202124"/>
        <sz val="11.0"/>
      </rPr>
      <t xml:space="preserve">를 확인해주세요.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최소 30분·시작일 24:00 종료 경계를 적용하고 오류 안내·수정이 가능합니다. </t>
    </r>
    <r>
      <rPr>
        <rFont val="Arial"/>
        <b/>
        <color rgb="FF202124"/>
        <sz val="11.0"/>
      </rPr>
      <t>위치 권한 거부</t>
    </r>
    <r>
      <rPr>
        <rFont val="Arial"/>
        <b val="0"/>
        <color rgb="FF202124"/>
        <sz val="11.0"/>
      </rPr>
      <t xml:space="preserve"> 시 직접 입력할 수 있습니다.</t>
    </r>
  </si>
  <si>
    <r>
      <rPr>
        <rFont val="Arial"/>
        <b/>
        <color rgb="FF2B3A4C"/>
        <sz val="11.0"/>
      </rPr>
      <t>검증 시 참고:</t>
    </r>
    <r>
      <rPr>
        <rFont val="Arial"/>
        <color rgb="FF303A49"/>
        <sz val="11.0"/>
      </rPr>
      <t xml:space="preserve"> 시간·위치 입력이 잘못된 상황은 정상 입력에서 추천 결과가 0건인 상황(QA-A07)과 구분합니다. 위치 권한을 거부한 경우에는 출발점을 직접 입력할 수 있어야 합니다.
</t>
    </r>
    <r>
      <rPr>
        <rFont val="Arial"/>
        <b/>
        <color rgb="FF2B3A4C"/>
        <sz val="11.0"/>
      </rPr>
      <t>공통 문제·후속 조치:</t>
    </r>
    <r>
      <rPr>
        <rFont val="Arial"/>
        <color rgb="FF303A49"/>
        <sz val="11.0"/>
      </rPr>
      <t xml:space="preserve"> </t>
    </r>
    <r>
      <rPr>
        <rFont val="Arial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</si>
  <si>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시간 오류·위치 권한 거부 시 안내를 이해하고 수정하거나 위치를 직접 입력할 수 있는지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</si>
  <si>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최소 30분·당일 24시 시간 경계를 적용하고, 위치 권한 거부 후 직접 입력이 동작하는지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</si>
  <si>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모바일 세부 점검. 핵심 사용을 막는 오류는 1차 QA-C01에서 우선 처리</t>
  </si>
  <si>
    <t>QA-A03</t>
  </si>
  <si>
    <t>LF-02 → LF-03
자연어 조건 해석</t>
  </si>
  <si>
    <r>
      <rPr>
        <rFont val="Arial"/>
        <b val="0"/>
        <color rgb="FF202124"/>
        <sz val="11.0"/>
      </rPr>
      <t xml:space="preserve">자연어의 </t>
    </r>
    <r>
      <rPr>
        <rFont val="Arial"/>
        <b/>
        <color rgb="FF202124"/>
        <sz val="11.0"/>
      </rPr>
      <t>필수 조건(Hard)·선호(Soft)·제외조건</t>
    </r>
    <r>
      <rPr>
        <rFont val="Arial"/>
        <b val="0"/>
        <color rgb="FF202124"/>
        <sz val="11.0"/>
      </rPr>
      <t>을 구분하여 추천에 반영해야 합니다.</t>
    </r>
  </si>
  <si>
    <r>
      <rPr>
        <rFont val="Arial"/>
        <b val="0"/>
        <color rgb="FF202124"/>
        <sz val="11.0"/>
      </rPr>
      <t xml:space="preserve">대표 </t>
    </r>
    <r>
      <rPr>
        <rFont val="Arial"/>
        <b/>
        <color rgb="FF202124"/>
        <sz val="11.0"/>
      </rPr>
      <t>걷기 선호</t>
    </r>
    <r>
      <rPr>
        <rFont val="Arial"/>
        <b val="0"/>
        <color rgb="FF202124"/>
        <sz val="11.0"/>
      </rPr>
      <t xml:space="preserve">와 </t>
    </r>
    <r>
      <rPr>
        <rFont val="Arial"/>
        <b/>
        <color rgb="FF202124"/>
        <sz val="11.0"/>
      </rPr>
      <t>명시적 제외조건</t>
    </r>
    <r>
      <rPr>
        <rFont val="Arial"/>
        <b val="0"/>
        <color rgb="FF202124"/>
        <sz val="11.0"/>
      </rPr>
      <t xml:space="preserve">을 입력하고 실제 결과와 비교해주세요.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선호를 임의의 필수 제한으로 바꾸지 않고 </t>
    </r>
    <r>
      <rPr>
        <rFont val="Arial"/>
        <b/>
        <color rgb="FF202124"/>
        <sz val="11.0"/>
      </rPr>
      <t>명시적 제외조건</t>
    </r>
    <r>
      <rPr>
        <rFont val="Arial"/>
        <b val="0"/>
        <color rgb="FF202124"/>
        <sz val="11.0"/>
      </rPr>
      <t>을 무시하지 않습니다.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</si>
  <si>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대표 사례는 걷기 선호와 명시적 제외조건을 함께 포함합니다. 해석 오류가 있으면 실제 입력 문장과 추천 결과를 함께 기록합니다.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</si>
  <si>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사용자 문장에서 필수 조건·선호·제외조건을 구별해 Product 기준대로 해석하는지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</si>
  <si>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걷기 선호를 강제 제한으로 바꾸지 않고, 명시된 제외조건이 실제 추천 결과에 반영되는지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</si>
  <si>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QA-A04</t>
  </si>
  <si>
    <t>LF-02 → LF-03
시간·운영·이동 적합성</t>
  </si>
  <si>
    <r>
      <rPr>
        <rFont val="Arial"/>
        <b/>
        <color rgb="FF202124"/>
        <sz val="11.0"/>
      </rPr>
      <t>실제 이용 가능한 시간과 명시된 필수 조건</t>
    </r>
    <r>
      <rPr>
        <rFont val="Arial"/>
        <b val="0"/>
        <color rgb="FF202124"/>
        <sz val="11.0"/>
      </rPr>
      <t>에 맞는 경험을 추천해야 합니다.</t>
    </r>
  </si>
  <si>
    <r>
      <rPr>
        <rFont val="Arial"/>
        <b/>
        <color rgb="FF202124"/>
        <sz val="11.0"/>
      </rPr>
      <t>출발점·가용시간</t>
    </r>
    <r>
      <rPr>
        <rFont val="Arial"/>
        <b val="0"/>
        <color rgb="FF202124"/>
        <sz val="11.0"/>
      </rPr>
      <t xml:space="preserve">을 지정하고 </t>
    </r>
    <r>
      <rPr>
        <rFont val="Arial"/>
        <b/>
        <color rgb="FF202124"/>
        <sz val="11.0"/>
      </rPr>
      <t>운영시간·입장마감</t>
    </r>
    <r>
      <rPr>
        <rFont val="Arial"/>
        <b val="0"/>
        <color rgb="FF202124"/>
        <sz val="11.0"/>
      </rPr>
      <t xml:space="preserve">·이동조건·기존 고정 일정과 결과를 대조해주세요.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알려진 필수 조건과 충돌하는 장소를 정상 추천으로 표시하지 않습니다.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</si>
  <si>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시간·운영 적합성은 확인 가능한 운영시간·입장마감·이동 근거와 대조합니다. 근거가 미확인인 부분은 실제 이용 가능하다고 단정하지 않습니다.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</si>
  <si>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추천 장소가 운영시간·입장마감·이동시간·기존 일정의 필수 조건과 충돌하지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</si>
  <si>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실제 운영·이동 데이터와 시간 계산을 대조해 이용 불가능한 후보가 정상 추천되지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</si>
  <si>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QA-A05</t>
  </si>
  <si>
    <t>LF-02 → LF-03
예산·무료·가격 판정</t>
  </si>
  <si>
    <r>
      <rPr>
        <rFont val="Arial"/>
        <b/>
        <color rgb="FF202124"/>
        <sz val="11.0"/>
      </rPr>
      <t>무료·예산 상한·가격 미확인</t>
    </r>
    <r>
      <rPr>
        <rFont val="Arial"/>
        <b val="0"/>
        <color rgb="FF202124"/>
        <sz val="11.0"/>
      </rPr>
      <t>을 정확히 구분해야 합니다.</t>
    </r>
  </si>
  <si>
    <r>
      <rPr>
        <rFont val="Arial"/>
        <b val="0"/>
        <color rgb="FF202124"/>
        <sz val="11.0"/>
      </rPr>
      <t>“</t>
    </r>
    <r>
      <rPr>
        <rFont val="Arial"/>
        <b/>
        <color rgb="FF202124"/>
        <sz val="11.0"/>
      </rPr>
      <t>Free only</t>
    </r>
    <r>
      <rPr>
        <rFont val="Arial"/>
        <b val="0"/>
        <color rgb="FF202124"/>
        <sz val="11.0"/>
      </rPr>
      <t xml:space="preserve">” 또는 명확한 </t>
    </r>
    <r>
      <rPr>
        <rFont val="Arial"/>
        <b/>
        <color rgb="FF202124"/>
        <sz val="11.0"/>
      </rPr>
      <t>금액 상한</t>
    </r>
    <r>
      <rPr>
        <rFont val="Arial"/>
        <b val="0"/>
        <color rgb="FF202124"/>
        <sz val="11.0"/>
      </rPr>
      <t xml:space="preserve">을 입력하고 실제 가격 근거와 대조해주세요.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유료·가격 미확인을 무료로 처리하지 않고 조건부 할인·확인되지 않은 가격으로 예산 충족을 판정하지 않습니다.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</si>
  <si>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무료·예산 테스트에는 가격 출처를 함께 남깁니다. 조건부 할인과 금액 미확인을 일반적인 무료·예산 충족 근거로 사용하지 않습니다.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</si>
  <si>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무료 요청·금액 상한·가격 미확인 판정이 기존 가격 정책과 일치하는지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</si>
  <si>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가격 근거와 조건부 할인을 확인하고, 미확인 가격을 무료나 예산 충족으로 처리하지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</si>
  <si>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QA-A06</t>
  </si>
  <si>
    <t>LF-03 → LF-06(선택)
판단정보·신뢰 표시</t>
  </si>
  <si>
    <r>
      <rPr>
        <rFont val="Arial"/>
        <b/>
        <color rgb="FF202124"/>
        <sz val="11.0"/>
      </rPr>
      <t>추천 이유·시간 적합성·가격·이동·예약·미확인 정보</t>
    </r>
    <r>
      <rPr>
        <rFont val="Arial"/>
        <b val="0"/>
        <color rgb="FF202124"/>
        <sz val="11.0"/>
      </rPr>
      <t>를 이해하고 다음 행동을 결정할 수 있어야 합니다.</t>
    </r>
  </si>
  <si>
    <r>
      <rPr>
        <rFont val="Arial"/>
        <b/>
        <color rgb="FF202124"/>
        <sz val="11.0"/>
      </rPr>
      <t>정보가 확인된 후보 1건</t>
    </r>
    <r>
      <rPr>
        <rFont val="Arial"/>
        <b val="0"/>
        <color rgb="FF202124"/>
        <sz val="11.0"/>
      </rPr>
      <t xml:space="preserve">과 </t>
    </r>
    <r>
      <rPr>
        <rFont val="Arial"/>
        <b/>
        <color rgb="FF202124"/>
        <sz val="11.0"/>
      </rPr>
      <t>일부 정보가 미확인된 후보 1건</t>
    </r>
    <r>
      <rPr>
        <rFont val="Arial"/>
        <b val="0"/>
        <color rgb="FF202124"/>
        <sz val="11.0"/>
      </rPr>
      <t xml:space="preserve">을 확인해주세요.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표시가 실제 근거와 일치하고 미확인을 구체적으로 구분합니다. 가능한 공식 상세·예약·길찾기 경로로 올바르게 연결됩니다.
</t>
    </r>
    <r>
      <rPr>
        <rFont val="Arial"/>
        <b/>
        <color rgb="FF202124"/>
        <sz val="11.0"/>
      </rPr>
      <t>추가 확인:</t>
    </r>
    <r>
      <rPr>
        <rFont val="Arial"/>
        <b val="0"/>
        <color rgb="FF202124"/>
        <sz val="11.0"/>
      </rPr>
      <t xml:space="preserve"> 같은 대표 결과에서 추천 이유가 후보당 근거 있는 0~2개인지, 근거 없으면 생략하고 확인된 사실·주 상태와 구분하는지 확인합니다. 신뢰 가능한 후보가 1~2개뿐인 경우에도 개수를 억지로 채우지 않습니다(17개 문구 전수 검증 제외).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</si>
  <si>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1차에서는 표시 정보의 사실 일치와 사용자가 이해할 수 있는지 확인하며, 세부 시각디자인 평가는 제외합니다. ‘Partly confirmed’→‘Details to confirm’, ‘Free or cheap’→‘Budget-friendly’는 확정 문구가 아닌 검토 제안입니다.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</si>
  <si>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추천 이유는 확인된 요청·후보 근거와 규칙에 기반한 0~2개이며, 근거 없으면 생략하고 Fact·주 상태와 구별하는지 확인합니다. 1~2개 적합 후보를 억지로 채우지 않습니다.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</si>
  <si>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후보별 추천 이유가 주 상태·확인된 사실·미확인 안내와 혼동되지 않고, 이유가 0개여도 결과가 자연스럽고 1~2개 후보일 때 불필요한 채움이 없는지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</si>
  <si>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표시된 판단정보가 근거와 맞고 공식 상세·예약·길찾기 링크가 올바르게 연결되는지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</si>
  <si>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QA-A07</t>
  </si>
  <si>
    <t>LF-03
추천 0건·대안</t>
  </si>
  <si>
    <r>
      <rPr>
        <rFont val="Arial"/>
        <b/>
        <color rgb="FF202124"/>
        <sz val="11.0"/>
      </rPr>
      <t>적합 후보가 없으면</t>
    </r>
    <r>
      <rPr>
        <rFont val="Arial"/>
        <b val="0"/>
        <color rgb="FF202124"/>
        <sz val="11.0"/>
      </rPr>
      <t xml:space="preserve"> 무리하게 추천하지 않고 다음 행동을 안내해야 합니다.</t>
    </r>
  </si>
  <si>
    <r>
      <rPr>
        <rFont val="Arial"/>
        <b val="0"/>
        <color rgb="FF202124"/>
        <sz val="11.0"/>
      </rPr>
      <t xml:space="preserve">유효한 조건에서 실제 </t>
    </r>
    <r>
      <rPr>
        <rFont val="Arial"/>
        <b/>
        <color rgb="FF202124"/>
        <sz val="11.0"/>
      </rPr>
      <t>추천 0건</t>
    </r>
    <r>
      <rPr>
        <rFont val="Arial"/>
        <b val="0"/>
        <color rgb="FF202124"/>
        <sz val="11.0"/>
      </rPr>
      <t xml:space="preserve">이 발생하는 대표 상황 1건을 재현해주세요.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Hard 조건을 몰래 완화하지 않고 실패 원인·조건 수정 또는 명확히 구분된 대안을 안내합니다.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</si>
  <si>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입력 자체가 유효하지 않은 경우는 QA-A02에서 확인합니다. 여기서는 유효한 조건에 적합한 후보가 없을 때 필수 조건을 몰래 완화하지 않고 대안을 구분하는지 확인합니다. 적합한 후보가 1~2개만 남는 정상 결과와 강제 충원 금지 여부는 QA-A06의 추가 사례에서 확인합니다. 이 행은 후보 0건·대안 검증에 집중합니다.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</si>
  <si>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추천 0건일 때 필수 조건을 몰래 완화하지 않고 대안을 별도로 안내하는지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</si>
  <si>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0건인 이유와 조건 수정 또는 대안 확인 방법이 사용자에게 명확히 보이는지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</si>
  <si>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유효한 요청의 0건 상황을 감지하고 억지 추천 없이 수정·대안 경로를 제공하는지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</si>
  <si>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QA-A08</t>
  </si>
  <si>
    <t>LF-03 → LF-09
후보 선택·최종 저장</t>
  </si>
  <si>
    <r>
      <rPr>
        <rFont val="Arial"/>
        <b/>
        <color rgb="FF202124"/>
        <sz val="11.0"/>
      </rPr>
      <t>후보 선택과 현재 선택의 최종 저장</t>
    </r>
    <r>
      <rPr>
        <rFont val="Arial"/>
        <b val="0"/>
        <color rgb="FF202124"/>
        <sz val="11.0"/>
      </rPr>
      <t>을 구분할 수 있어야 합니다.</t>
    </r>
  </si>
  <si>
    <r>
      <rPr>
        <rFont val="Arial"/>
        <b/>
        <color rgb="FF202124"/>
        <sz val="11.0"/>
      </rPr>
      <t>①</t>
    </r>
    <r>
      <rPr>
        <rFont val="Arial"/>
        <b val="0"/>
        <color rgb="FF202124"/>
        <sz val="11.0"/>
      </rPr>
      <t xml:space="preserve"> </t>
    </r>
    <r>
      <rPr>
        <rFont val="Arial"/>
        <b/>
        <color rgb="FF202124"/>
        <sz val="11.0"/>
      </rPr>
      <t>Select experience</t>
    </r>
    <r>
      <rPr>
        <rFont val="Arial"/>
        <b val="0"/>
        <color rgb="FF202124"/>
        <sz val="11.0"/>
      </rPr>
      <t xml:space="preserve"> → Your pick / Not saved yet → </t>
    </r>
    <r>
      <rPr>
        <rFont val="Arial"/>
        <b/>
        <color rgb="FF202124"/>
        <sz val="11.0"/>
      </rPr>
      <t>Save choice</t>
    </r>
    <r>
      <rPr>
        <rFont val="Arial"/>
        <b val="0"/>
        <color rgb="FF202124"/>
        <sz val="11.0"/>
      </rPr>
      <t xml:space="preserve">로 첫 장소를 저장해주세요.
</t>
    </r>
    <r>
      <rPr>
        <rFont val="Arial"/>
        <b/>
        <color rgb="FF202124"/>
        <sz val="11.0"/>
      </rPr>
      <t>②</t>
    </r>
    <r>
      <rPr>
        <rFont val="Arial"/>
        <b val="0"/>
        <color rgb="FF202124"/>
        <sz val="11.0"/>
      </rPr>
      <t xml:space="preserve"> 다른 장소 선택 후 저장 없이 돌아가주세요.
</t>
    </r>
    <r>
      <rPr>
        <rFont val="Arial"/>
        <b/>
        <color rgb="FF202124"/>
        <sz val="11.0"/>
      </rPr>
      <t>③</t>
    </r>
    <r>
      <rPr>
        <rFont val="Arial"/>
        <b val="0"/>
        <color rgb="FF202124"/>
        <sz val="11.0"/>
      </rPr>
      <t xml:space="preserve"> 다른 장소 선택 후 명시적으로 저장해주세요.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저장 전에는 기존 저장 선택이 유지되고 최종 저장 후에만 갱신됩니다. 저장 완료 피드백·재접근이 가능합니다.
</t>
    </r>
    <r>
      <rPr>
        <rFont val="Arial"/>
        <b/>
        <color rgb="FF202124"/>
        <sz val="11.0"/>
      </rPr>
      <t>추가 확인:</t>
    </r>
    <r>
      <rPr>
        <rFont val="Arial"/>
        <b val="0"/>
        <color rgb="FF202124"/>
        <sz val="11.0"/>
      </rPr>
      <t xml:space="preserve"> ① 첫 추천부터 첫 Save choice 최종 저장까지 비회원으로 진행하고, 로그인 강제 없이 저장·재접근되는지 확인합니다. ②·③의 저장 전/후 기존 선택 보존 기준은 그대로 적용합니다.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</si>
  <si>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LF-06 장소 상세 화면은 저장을 위한 필수 경유 화면이 아닙니다. ‘Select experience’는 후보 선택이며 최종 저장은 ‘Save choice’에서만 수행합니다. 비회원 첫 A 추천뿐 아니라 첫 Save choice 최종 저장도 로그인 없이 허용합니다. 두 번째 새 추천 요청의 로그인 Gate는 QA-P01에서 확인합니다.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</si>
  <si>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후보 선택은 임시 상태이고 Save choice를 눌러야 최종 저장된다는 기준을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</si>
  <si>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저장 전 상태와 저장 완료 안내, 현재 선택으로 다시 들어가는 흐름이 이해되는지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</si>
  <si>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저장 없이 이탈하면 기존 선택을 유지하고 Save choice 이후에만 새 선택으로 바뀌는지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</si>
  <si>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후속/P1</t>
  </si>
  <si>
    <t>LF-02 → LF-03
기존 일정 입력</t>
  </si>
  <si>
    <r>
      <rPr>
        <rFont val="Arial"/>
        <b/>
        <color rgb="FF202124"/>
        <sz val="11.0"/>
      </rPr>
      <t>복합 자연어와 여러 기존 여행 일정</t>
    </r>
    <r>
      <rPr>
        <rFont val="Arial"/>
        <b val="0"/>
        <color rgb="FF202124"/>
        <sz val="11.0"/>
      </rPr>
      <t>을 반영할 수 있어야 합니다.</t>
    </r>
  </si>
  <si>
    <r>
      <rPr>
        <rFont val="Arial"/>
        <b/>
        <color rgb="FF202124"/>
        <sz val="11.0"/>
      </rPr>
      <t>복수 일정·제약·모호한 표현</t>
    </r>
    <r>
      <rPr>
        <rFont val="Arial"/>
        <b val="0"/>
        <color rgb="FF202124"/>
        <sz val="11.0"/>
      </rPr>
      <t xml:space="preserve">을 입력해주세요.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확인된 조건을 유지하고 충돌·모호한 핵심값을 임의 추정하지 않으며 필요한 부분만 확인합니다.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</si>
  <si>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QA-A03·A04보다 복잡한 복수 일정·조건 충돌을 다루는 후속 검증입니다. 기존 일정 입력 경로는 ‘+ Add plans you already have (optional)’를 기준으로 확인합니다.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</si>
  <si>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복수 일정과 모호한 자연어를 해석할 때 핵심 충돌을 임의로 추정하지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</si>
  <si>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기존 일정 여러 개와 복합 조건을 처리하고, 충돌하거나 불명확한 값은 확인을 요청하는지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</si>
  <si>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LF-02 → LF-03 통합 지도
위치·경로 대체 안내</t>
  </si>
  <si>
    <r>
      <rPr>
        <rFont val="Arial"/>
        <b/>
        <color rgb="FF202124"/>
        <sz val="11.0"/>
      </rPr>
      <t>위치 정확도나 신뢰 가능한 경로정보가 부족해도</t>
    </r>
    <r>
      <rPr>
        <rFont val="Arial"/>
        <b val="0"/>
        <color rgb="FF202124"/>
        <sz val="11.0"/>
      </rPr>
      <t xml:space="preserve"> 적절한 대체 수단을 제공해야 합니다.</t>
    </r>
  </si>
  <si>
    <r>
      <rPr>
        <rFont val="Arial"/>
        <b/>
        <color rgb="FF202124"/>
        <sz val="11.0"/>
      </rPr>
      <t>GPS 정확도 저하</t>
    </r>
    <r>
      <rPr>
        <rFont val="Arial"/>
        <b val="0"/>
        <color rgb="FF202124"/>
        <sz val="11.0"/>
      </rPr>
      <t xml:space="preserve">, </t>
    </r>
    <r>
      <rPr>
        <rFont val="Arial"/>
        <b/>
        <color rgb="FF202124"/>
        <sz val="11.0"/>
      </rPr>
      <t>실제 도보 경로선</t>
    </r>
    <r>
      <rPr>
        <rFont val="Arial"/>
        <b val="0"/>
        <color rgb="FF202124"/>
        <sz val="11.0"/>
      </rPr>
      <t xml:space="preserve">·이동시간 미확인 상황을 확인해주세요.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미확인 경로를 실제 경로처럼 표시하지 않고 출발점 수정·공식/외부 지도 확인 등 가능한 대체 수단을 제공합니다.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</si>
  <si>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위치 정확도 또는 도보 경로·이동시간이 미확인인 경우 이를 확정 정보처럼 표시하지 않습니다. 출발점 수정 또는 공식·외부 지도 확인 등 가능한 대체 수단을 점검합니다.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</si>
  <si>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위치·도보 경로·이동시간이 미확인인 경우 확정 정보처럼 안내하지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</si>
  <si>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위치 정확도 안내와 출발점 수정·외부 지도 확인 방법을 쉽게 찾을 수 있는지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</si>
  <si>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위치 정확도 저하와 경로정보 부재를 처리하고 가능한 대체 안내로 연결하는지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</si>
  <si>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QA-B01</t>
  </si>
  <si>
    <t>LF-04
Guided Chat 필수값</t>
  </si>
  <si>
    <r>
      <rPr>
        <rFont val="Arial"/>
        <b val="0"/>
        <color rgb="FF202124"/>
        <sz val="11.0"/>
      </rPr>
      <t xml:space="preserve">대화로 </t>
    </r>
    <r>
      <rPr>
        <rFont val="Arial"/>
        <b/>
        <color rgb="FF202124"/>
        <sz val="11.0"/>
      </rPr>
      <t>날짜·시작점·시작 시각·종료 경계 4개 필수값</t>
    </r>
    <r>
      <rPr>
        <rFont val="Arial"/>
        <b val="0"/>
        <color rgb="FF202124"/>
        <sz val="11.0"/>
      </rPr>
      <t>을 확보하고 확인·수정할 수 있어야 합니다.</t>
    </r>
  </si>
  <si>
    <r>
      <rPr>
        <rFont val="Arial"/>
        <b/>
        <color rgb="FF202124"/>
        <sz val="11.0"/>
      </rPr>
      <t>필수 4값 입력</t>
    </r>
    <r>
      <rPr>
        <rFont val="Arial"/>
        <b val="0"/>
        <color rgb="FF202124"/>
        <sz val="11.0"/>
      </rPr>
      <t xml:space="preserve"> → 누락값 확인 → </t>
    </r>
    <r>
      <rPr>
        <rFont val="Arial"/>
        <b/>
        <color rgb="FF202124"/>
        <sz val="11.0"/>
      </rPr>
      <t>요약 확인·수정</t>
    </r>
    <r>
      <rPr>
        <rFont val="Arial"/>
        <b val="0"/>
        <color rgb="FF202124"/>
        <sz val="11.0"/>
      </rPr>
      <t xml:space="preserve"> → 생성 요청을 진행해주세요.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미확인 필수값이 있으면 임의 생성하지 않고 확인·수정한 값이 실제 생성에 적용됩니다.
</t>
    </r>
    <r>
      <rPr>
        <rFont val="Arial"/>
        <b/>
        <color rgb="FF202124"/>
        <sz val="11.0"/>
      </rPr>
      <t>추가 확인:</t>
    </r>
    <r>
      <rPr>
        <rFont val="Arial"/>
        <b val="0"/>
        <color rgb="FF202124"/>
        <sz val="11.0"/>
      </rPr>
      <t xml:space="preserve"> 미래 날짜·모호한 시각을 포함한 대표 대화에서 누락·모호값만 질문하고 기존 값은 유지하세요. 해당 값 직접 수정·요약 확인 후 생성하며, 미래 날짜의 출발점을 현재 GPS로 자동 확정하지 않고 대화 입력창이 유지되는지 확인합니다.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</si>
  <si>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B 첫 루트 생성은 비회원도 이용할 수 있어야 하므로 1차에서 함께 확인합니다(QA-P05의 최소 범위). 필수값을 확인하지 않은 채 임의로 루트를 만들었다면 문제로 기록합니다. Guided Chat 3+1은 LF-04의 대표 대화 상태이며 독립 화면 4개 구현을 뜻하지 않습니다. 미래 날짜의 출발점에 현재 GPS를 자동 가정하지 않습니다.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</si>
  <si>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날짜·출발점·시작 시각·종료 경계의 필수 4값을 확인한 뒤 루트를 생성하는지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</si>
  <si>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S1 안내→S2 누락·모호값 확인→S3 생성 전 요약과 V1 해당 값 직접 수정이 한 대화 안에서 이해되고, 이미 받은 값·입력창이 유지되는지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</si>
  <si>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필수값 누락·모호 시 필요한 값만 확인하고 기존 입력을 유지하며, 미래 날짜 GPS 자동 확정을 피하고 확인·수정된 4값으로만 루트를 생성하는지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</si>
  <si>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QA-B02</t>
  </si>
  <si>
    <t>LF-04 → LF-05
루트 실행 가능성</t>
  </si>
  <si>
    <r>
      <rPr>
        <rFont val="Arial"/>
        <b/>
        <color rgb="FF202124"/>
        <sz val="11.0"/>
      </rPr>
      <t>가용시간 내 문화경험 2~3개</t>
    </r>
    <r>
      <rPr>
        <rFont val="Arial"/>
        <b val="0"/>
        <color rgb="FF202124"/>
        <sz val="11.0"/>
      </rPr>
      <t>를 실행 가능한 방문 순서로 연결해야 합니다.</t>
    </r>
  </si>
  <si>
    <r>
      <rPr>
        <rFont val="Arial"/>
        <b/>
        <color rgb="FF202124"/>
        <sz val="11.0"/>
      </rPr>
      <t>대표 루트 1건</t>
    </r>
    <r>
      <rPr>
        <rFont val="Arial"/>
        <b val="0"/>
        <color rgb="FF202124"/>
        <sz val="11.0"/>
      </rPr>
      <t xml:space="preserve">을 생성하고 운영·체류·이동시간·방문 순서를 실제 근거와 대조해주세요.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시간 충돌·명백한 이용 불가 조건이 없고 실제값·예상값·계획값을 혼동하지 않습니다.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</si>
  <si>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대표 루트 1건의 2~3개 장소 구성과 운영·체류·이동시간 적합성을 우선 확인합니다. 여러 루트의 심화 비교와 재구성 상세 검증은 후속으로 유지합니다.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</si>
  <si>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장소 2~3개의 운영·체류·이동시간을 고려해 계획상 실행 가능한 루트를 제시하는지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</si>
  <si>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대표 루트의 방문 순서·체류시간·구간 이동시간을 데이터와 대조해 충돌 여부를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</si>
  <si>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QA-B03</t>
  </si>
  <si>
    <t>LF-05 → LF-08
LF-06(선택)</t>
  </si>
  <si>
    <r>
      <rPr>
        <rFont val="Arial"/>
        <b/>
        <color rgb="FF202124"/>
        <sz val="11.0"/>
      </rPr>
      <t>루트 전체·개별 장소의 시간·이동·비용·예약·미확인 정보</t>
    </r>
    <r>
      <rPr>
        <rFont val="Arial"/>
        <b val="0"/>
        <color rgb="FF202124"/>
        <sz val="11.0"/>
      </rPr>
      <t>를 정확히 이해할 수 있어야 합니다.</t>
    </r>
  </si>
  <si>
    <r>
      <rPr>
        <rFont val="Arial"/>
        <b/>
        <color rgb="FF202124"/>
        <sz val="11.0"/>
      </rPr>
      <t>QA-B02 루트</t>
    </r>
    <r>
      <rPr>
        <rFont val="Arial"/>
        <b val="0"/>
        <color rgb="FF202124"/>
        <sz val="11.0"/>
      </rPr>
      <t xml:space="preserve">를 재사용하고 </t>
    </r>
    <r>
      <rPr>
        <rFont val="Arial"/>
        <b/>
        <color rgb="FF202124"/>
        <sz val="11.0"/>
      </rPr>
      <t>필수 비용</t>
    </r>
    <r>
      <rPr>
        <rFont val="Arial"/>
        <b val="0"/>
        <color rgb="FF202124"/>
        <sz val="11.0"/>
      </rPr>
      <t xml:space="preserve"> 등 일부 정보가 미확인된 사례도 확인해주세요.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확인된 비용만으로 전체 예산 충족을 단정하지 않고 장소별 확인사항과 루트 전체 영향을 구분합니다.
</t>
    </r>
    <r>
      <rPr>
        <rFont val="Arial"/>
        <b/>
        <color rgb="FF202124"/>
        <sz val="11.0"/>
      </rPr>
      <t>추가 확인:</t>
    </r>
    <r>
      <rPr>
        <rFont val="Arial"/>
        <b val="0"/>
        <color rgb="FF202124"/>
        <sz val="11.0"/>
      </rPr>
      <t xml:space="preserve"> 같은 루트·미확인 사례에서 근거 있는 추천 이유 0~2개(없으면 생략)를 확인합니다. 루트 전체의 이유와 개별 장소별 이유를 구분하고 사실·주 상태와 섞지 않습니다(17개 문구 전수 검증 제외).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</si>
  <si>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QA-B02의 대표 루트를 활용해 필수 비용·예약조건이 일부 미확인된 사례도 확인합니다. 적합한 미확인 사례를 확보하지 못하면 충족으로 단정하지 말고 추가 검증 필요를 기록합니다.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</si>
  <si>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비용·예약 미확인으로 전체 루트의 적합성을 단정하지 않고, 추천 이유는 근거 있는 0~2개만 표시하며 루트 전체와 개별 장소의 이유를 구분하는지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</si>
  <si>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루트 전체·장소별 가격·예약·미확인 정보뿐 아니라 각각의 추천 이유가 사실·결과 상태와 구별되고 이유가 없는 경우도 자연스럽게 처리되는지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</si>
  <si>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장소별 가격·예약 근거와 미확인 사실이 루트 전체 판단정보에 반영되는지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</si>
  <si>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QA-B04</t>
  </si>
  <si>
    <t>LF-04 → LF-05
루트 생성 실패</t>
  </si>
  <si>
    <r>
      <rPr>
        <rFont val="Arial"/>
        <b/>
        <color rgb="FF202124"/>
        <sz val="11.0"/>
      </rPr>
      <t>신뢰 가능한 경험 2개 이상을 연결할 수 없으면</t>
    </r>
    <r>
      <rPr>
        <rFont val="Arial"/>
        <b val="0"/>
        <color rgb="FF202124"/>
        <sz val="11.0"/>
      </rPr>
      <t xml:space="preserve"> 실행 불가능한 루트를 만들지 않아야 합니다.</t>
    </r>
  </si>
  <si>
    <r>
      <rPr>
        <rFont val="Arial"/>
        <b/>
        <color rgb="FF202124"/>
        <sz val="11.0"/>
      </rPr>
      <t>가용시간 부족</t>
    </r>
    <r>
      <rPr>
        <rFont val="Arial"/>
        <b val="0"/>
        <color rgb="FF202124"/>
        <sz val="11.0"/>
      </rPr>
      <t xml:space="preserve">으로 루트 구성이 어려운 대표 상황 1건을 우선 재현해주세요.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무리하게 생성하지 않고 실패 이유·시간 조건 수정 또는 가능한 개별 문화경험 확인으로 연결됩니다.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</si>
  <si>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루트 생성 불가(가용시간·운영조건 충돌)와 시스템 처리 오류를 구분합니다. 실패 시 입력조건과 화면의 안내 내용을 기록합니다.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</si>
  <si>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문화경험 2개 이상을 연결할 수 없다면 억지 생성 대신 실패·대안을 안내하는지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</si>
  <si>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생성 실패 이유와 시간 조건 수정 또는 개별 장소 확인 경로가 이해되는지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</si>
  <si>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가용시간 부족 사례에서 루트 생성 실패를 판정하고 불가능한 루트를 반환하지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</si>
  <si>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QA-B05</t>
  </si>
  <si>
    <t>LF-05 → LF-08 → LF-09
확정·재접근·보존</t>
  </si>
  <si>
    <r>
      <rPr>
        <rFont val="Arial"/>
        <b/>
        <color rgb="FF202124"/>
        <sz val="11.0"/>
      </rPr>
      <t>Go with this route</t>
    </r>
    <r>
      <rPr>
        <rFont val="Arial"/>
        <b val="0"/>
        <color rgb="FF202124"/>
        <sz val="11.0"/>
      </rPr>
      <t>로 최종 확정하고 다시 확인할 수 있어야 합니다.</t>
    </r>
  </si>
  <si>
    <r>
      <rPr>
        <rFont val="Arial"/>
        <b/>
        <color rgb="FF202124"/>
        <sz val="11.0"/>
      </rPr>
      <t>①</t>
    </r>
    <r>
      <rPr>
        <rFont val="Arial"/>
        <b val="0"/>
        <color rgb="FF202124"/>
        <sz val="11.0"/>
      </rPr>
      <t xml:space="preserve"> 루트 확인 후 </t>
    </r>
    <r>
      <rPr>
        <rFont val="Arial"/>
        <b/>
        <color rgb="FF202124"/>
        <sz val="11.0"/>
      </rPr>
      <t>Go with this route</t>
    </r>
    <r>
      <rPr>
        <rFont val="Arial"/>
        <b val="0"/>
        <color rgb="FF202124"/>
        <sz val="11.0"/>
      </rPr>
      <t xml:space="preserve"> 실행
</t>
    </r>
    <r>
      <rPr>
        <rFont val="Arial"/>
        <b/>
        <color rgb="FF202124"/>
        <sz val="11.0"/>
      </rPr>
      <t>②</t>
    </r>
    <r>
      <rPr>
        <rFont val="Arial"/>
        <b val="0"/>
        <color rgb="FF202124"/>
        <sz val="11.0"/>
      </rPr>
      <t xml:space="preserve"> 현재 선택에서 확정 루트 재접근
</t>
    </r>
    <r>
      <rPr>
        <rFont val="Arial"/>
        <b/>
        <color rgb="FF202124"/>
        <sz val="11.0"/>
      </rPr>
      <t>③</t>
    </r>
    <r>
      <rPr>
        <rFont val="Arial"/>
        <b val="0"/>
        <color rgb="FF202124"/>
        <sz val="11.0"/>
      </rPr>
      <t xml:space="preserve"> 다른 미확정 루트 확인 중 이탈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명시적 확정 전에는 기존 선택이 자동 교체되지 않고 B 첫 생성·확정이 비회원에게 허용됩니다.
</t>
    </r>
    <r>
      <rPr>
        <rFont val="Arial"/>
        <b/>
        <color rgb="FF202124"/>
        <sz val="11.0"/>
      </rPr>
      <t>추가 확인:</t>
    </r>
    <r>
      <rPr>
        <rFont val="Arial"/>
        <b val="0"/>
        <color rgb="FF202124"/>
        <sz val="11.0"/>
      </rPr>
      <t xml:space="preserve"> 확정 전후·재접근 시 장소 목록, 방문 순서, 예정시간, 미확인 상태를 대조합니다. 이전 선택이 예시 루트로 대체되거나, 확정만으로 미확인이 확인 완료로 바뀌면 안 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</si>
  <si>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v1에 재구성 기능이 노출된다면 1차에는 기존 확정 선택의 임의 변경·삭제 여부만 우선 확인합니다. 상세 재구성·복구는 QA-B06·B07의 후속 점검으로 남깁니다.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</si>
  <si>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비회원의 최초 루트 확정과 기존 선택 보존을 허용하며, 확정 장소·순서·예정시간·미확인 상태가 재접근 후에도 그대로 유지되는지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</si>
  <si>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루트 확정·저장 안내·현재 선택 재접근 흐름을 사용자가 이해할 수 있는지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</si>
  <si>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확정 루트의 장소·방문 순서·예정시간·미확인 상태를 저장·재조회 후 대조하고, 미확정 이탈 시 이전 선택이 유지되며 선택만으로 미확인이 확정되지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</si>
  <si>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LF-04·05·08
장소 제외·조건 변경</t>
  </si>
  <si>
    <r>
      <rPr>
        <rFont val="Arial"/>
        <b/>
        <color rgb="FF202124"/>
        <sz val="11.0"/>
      </rPr>
      <t>장소 제외·조건 변경</t>
    </r>
    <r>
      <rPr>
        <rFont val="Arial"/>
        <b val="0"/>
        <color rgb="FF202124"/>
        <sz val="11.0"/>
      </rPr>
      <t xml:space="preserve"> 후 유효한 루트를 재구성할 수 있어야 합니다.</t>
    </r>
  </si>
  <si>
    <r>
      <rPr>
        <rFont val="Arial"/>
        <b/>
        <color rgb="FF202124"/>
        <sz val="11.0"/>
      </rPr>
      <t>장소 하나를 제외</t>
    </r>
    <r>
      <rPr>
        <rFont val="Arial"/>
        <b val="0"/>
        <color rgb="FF202124"/>
        <sz val="11.0"/>
      </rPr>
      <t xml:space="preserve">하거나 가용시간 등을 수정해 재구성해주세요.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수정하지 않은 유효 입력을 유지하고 제외 장소를 임의 재삽입하지 않으며 시간·이동·운영·비용을 재판단합니다.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</si>
  <si>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장소 제외·조건 변경 시 이전 입력 중 유지할 값과 다시 판단할 값을 구분합니다. 재구성의 실제 구현 범위와 후속 검증 시점은 1차 결과 및 개발 상황을 보고 협의합니다.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</si>
  <si>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장소 제외·시간 변경 후 기존에 유지할 조건과 다시 판단할 조건이 구별되는지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</si>
  <si>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사용자가 장소 제외·조건 변경을 요청하고 새 루트 결과를 확인하기 쉬운지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</si>
  <si>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제외 장소를 다시 넣지 않고 변경 조건에 맞춰 시간·이동·운영·비용을 재판단하는지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</si>
  <si>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후속/P0</t>
  </si>
  <si>
    <t>LF-05·08·09
실패 복구·상태 보존</t>
  </si>
  <si>
    <r>
      <rPr>
        <rFont val="Arial"/>
        <b/>
        <color rgb="FF202124"/>
        <sz val="11.0"/>
      </rPr>
      <t>재구성 실패 후 이전 조건·루트·확정 선택</t>
    </r>
    <r>
      <rPr>
        <rFont val="Arial"/>
        <b val="0"/>
        <color rgb="FF202124"/>
        <sz val="11.0"/>
      </rPr>
      <t>을 잃지 않고 복구할 수 있어야 합니다.</t>
    </r>
  </si>
  <si>
    <r>
      <rPr>
        <rFont val="Arial"/>
        <b/>
        <color rgb="FF202124"/>
        <sz val="11.0"/>
      </rPr>
      <t>새 루트를 만들지 못하는 상황</t>
    </r>
    <r>
      <rPr>
        <rFont val="Arial"/>
        <b val="0"/>
        <color rgb="FF202124"/>
        <sz val="11.0"/>
      </rPr>
      <t xml:space="preserve">에서 이전 루트·조건으로 돌아가주세요.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이전 결과를 새 조건에 맞는 정상 결과로 오인시키지 않고 명시적 선택 없이 기존 확정 루트를 교체·삭제하지 않습니다.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</si>
  <si>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재구성 실패·복구의 상세 검증은 후속 대상입니다. 다만 v1에 재구성 기능이 노출되면 기존 확정 선택 보존은 QA-B05에서 1차에 먼저 확인합니다.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</si>
  <si>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재구성 실패 시 이전 루트를 새 조건에 맞는 정상 결과로 오인시키지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</si>
  <si>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재구성 실패 후 이전 조건·루트·확정 선택을 잃지 않고 복구할 수 있는지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</si>
  <si>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QA-P01</t>
  </si>
  <si>
    <t>LF-01 → LF-02 → LF-03 → 로그인</t>
  </si>
  <si>
    <r>
      <rPr>
        <rFont val="Arial"/>
        <b/>
        <color rgb="FF202124"/>
        <sz val="11.0"/>
      </rPr>
      <t>비회원도 첫 A 추천</t>
    </r>
    <r>
      <rPr>
        <rFont val="Arial"/>
        <b val="0"/>
        <color rgb="FF202124"/>
        <sz val="11.0"/>
      </rPr>
      <t>을 이용하고 두 번째 추천·재추천 시 로그인 안내를 받아야 합니다.</t>
    </r>
  </si>
  <si>
    <r>
      <rPr>
        <rFont val="Arial"/>
        <b/>
        <color rgb="FF202124"/>
        <sz val="11.0"/>
      </rPr>
      <t>비회원 첫 추천</t>
    </r>
    <r>
      <rPr>
        <rFont val="Arial"/>
        <b val="0"/>
        <color rgb="FF202124"/>
        <sz val="11.0"/>
      </rPr>
      <t xml:space="preserve"> → 추가 추천 요청 → 로그인 유도를 확인해주세요.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첫 추천 전에 불필요하게 로그인을 강제하지 않습니다.
</t>
    </r>
    <r>
      <rPr>
        <rFont val="Arial"/>
        <b/>
        <color rgb="FF202124"/>
        <sz val="11.0"/>
      </rPr>
      <t>추가 확인:</t>
    </r>
    <r>
      <rPr>
        <rFont val="Arial"/>
        <b val="0"/>
        <color rgb="FF202124"/>
        <sz val="11.0"/>
      </rPr>
      <t xml:space="preserve"> 로그인 유도에서 Not now를 선택해 보세요. 기존 입력조건·추천 결과·현재 선택을 유지하고 새 추천은 실행하지 않아야 합니다. 로그인 완료 후의 복원 검증은 QA-P02에서 수행합니다.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</si>
  <si>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비회원에게 첫 A 추천 전에 로그인을 강제하지 않습니다. 재추천 과정의 로그인 이후에도 기존 추천 맥락이 유지되는지는 QA-P02에서 별도로 확인합니다.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</si>
  <si>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비회원 첫 A 추천을 허용하고 두 번째 추천 요청 시 로그인 유도하는 기준이 지켜지는지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</si>
  <si>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첫 추천을 막지 않으면서 필요한 시점에 로그인 안내가 이해되도록 나오는지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</si>
  <si>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비회원 첫 A 추천 후 재추천 직전에만 로그인 유도하며, Not now를 누르면 새 추천 요청 없이 기존 조건·결과·선택이 유지되는지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</si>
  <si>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QA-P02</t>
  </si>
  <si>
    <t>로그인 → 기존 A 추천 흐름</t>
  </si>
  <si>
    <r>
      <rPr>
        <rFont val="Arial"/>
        <b/>
        <color rgb="FF202124"/>
        <sz val="11.0"/>
      </rPr>
      <t>Google 로그인 후 기존 입력·추천 맥락</t>
    </r>
    <r>
      <rPr>
        <rFont val="Arial"/>
        <b val="0"/>
        <color rgb="FF202124"/>
        <sz val="11.0"/>
      </rPr>
      <t>을 유지하고 이용을 재개할 수 있어야 합니다.</t>
    </r>
  </si>
  <si>
    <r>
      <rPr>
        <rFont val="Arial"/>
        <b val="0"/>
        <color rgb="FF202124"/>
        <sz val="11.0"/>
      </rPr>
      <t xml:space="preserve">QA-P01 로그인 유도에서 </t>
    </r>
    <r>
      <rPr>
        <rFont val="Arial"/>
        <b/>
        <color rgb="FF202124"/>
        <sz val="11.0"/>
      </rPr>
      <t>실제 Google 로그인</t>
    </r>
    <r>
      <rPr>
        <rFont val="Arial"/>
        <b val="0"/>
        <color rgb="FF202124"/>
        <sz val="11.0"/>
      </rPr>
      <t xml:space="preserve"> 후 재개해주세요.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기존 조건·결과·현재 선택 등 보존 대상이 의도치 않게 초기화되지 않습니다.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</si>
  <si>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Google 로그인을 실제 수행한 뒤 기존 추천 흐름으로 돌아오는지 확인합니다. 문제가 발생하면 로그인 중단 지점과 초기화되거나 손실된 입력·선택을 기록합니다.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</si>
  <si>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Google 로그인 후에도 기존 입력조건·추천 맥락을 이어 이용할 수 있는지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</si>
  <si>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로그인 완료 뒤 입력·결과·현재 선택이 초기화되지 않고 이전 흐름으로 돌아오는지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</si>
  <si>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QA-P03</t>
  </si>
  <si>
    <t>P-09 최초 가입 → My Page
선호 해석·확인·저장</t>
  </si>
  <si>
    <r>
      <rPr>
        <rFont val="Arial"/>
        <b/>
        <color rgb="FF202124"/>
        <sz val="11.0"/>
      </rPr>
      <t>관심사·추가 선호</t>
    </r>
    <r>
      <rPr>
        <rFont val="Arial"/>
        <b val="0"/>
        <color rgb="FF202124"/>
        <sz val="11.0"/>
      </rPr>
      <t>를 입력하고 AI 해석을 확인·수정한 뒤 저장하거나 Skip할 수 있어야 합니다.</t>
    </r>
  </si>
  <si>
    <r>
      <rPr>
        <rFont val="Arial"/>
        <b/>
        <color rgb="FF202124"/>
        <sz val="11.0"/>
      </rPr>
      <t>①</t>
    </r>
    <r>
      <rPr>
        <rFont val="Arial"/>
        <b val="0"/>
        <color rgb="FF202124"/>
        <sz val="11.0"/>
      </rPr>
      <t xml:space="preserve"> 관심사 선택 + Anything else? (optional) 입력 → </t>
    </r>
    <r>
      <rPr>
        <rFont val="Arial"/>
        <b/>
        <color rgb="FF202124"/>
        <sz val="11.0"/>
      </rPr>
      <t>AI 해석 확인·수정</t>
    </r>
    <r>
      <rPr>
        <rFont val="Arial"/>
        <b val="0"/>
        <color rgb="FF202124"/>
        <sz val="11.0"/>
      </rPr>
      <t xml:space="preserve"> → 저장
</t>
    </r>
    <r>
      <rPr>
        <rFont val="Arial"/>
        <b/>
        <color rgb="FF202124"/>
        <sz val="11.0"/>
      </rPr>
      <t>②</t>
    </r>
    <r>
      <rPr>
        <rFont val="Arial"/>
        <b val="0"/>
        <color rgb="FF202124"/>
        <sz val="11.0"/>
      </rPr>
      <t xml:space="preserve"> 아무것도 선택하지 않고 </t>
    </r>
    <r>
      <rPr>
        <rFont val="Arial"/>
        <b/>
        <color rgb="FF202124"/>
        <sz val="11.0"/>
      </rPr>
      <t>Skip</t>
    </r>
    <r>
      <rPr>
        <rFont val="Arial"/>
        <b val="0"/>
        <color rgb="FF202124"/>
        <sz val="11.0"/>
      </rPr>
      <t xml:space="preserve"> → 정상 이용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사용자 확인 전 해석 선호를 임의 저장하지 않고 저장 선호를 My Page에서 확인할 수 있습니다.
</t>
    </r>
    <r>
      <rPr>
        <rFont val="Arial"/>
        <b/>
        <color rgb="FF202124"/>
        <sz val="11.0"/>
      </rPr>
      <t>추가 확인:</t>
    </r>
    <r>
      <rPr>
        <rFont val="Arial"/>
        <b val="0"/>
        <color rgb="FF202124"/>
        <sz val="11.0"/>
      </rPr>
      <t xml:space="preserve"> 최초 가입 1회 노출 후 재로그인한 기존 회원에게 온보딩이 반복되지 않는지 확인합니다. 직접 선택한 관심사는 별도 AI 재해석을 필수로 요구하지 않고, 자유입력에서 해석된 선호만 사용자 확인·수정 후 저장합니다.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</si>
  <si>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초기 관심사는 무선택이며, 이전 ‘Prefer shorter walks’ 단독 체크박스는 최신 기준이 아닙니다. 최신 README 및 10/8 승인·UX 인계의 관심사·추가 선호→AI 해석 확인·수정→저장/Skip 기준을 적용하며, 저장 선호의 추천 순위 반영 심화는 1차에서 요구하지 않습니다.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</si>
  <si>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직접 선택한 관심사와 자유입력에서 AI가 해석한 추가 선호를 구분하고, 해석된 값은 사용자 확인 후 저장하며 미선택·Skip과 최초 가입 1회 기준을 지키는지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</si>
  <si>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AI 해석 확인·수정·저장 또는 Skip 선택을 사용자가 혼동 없이 진행할 수 있는지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</si>
  <si>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Google 최초 계정 생성 시 선호 온보딩을 1회만 보여주고 기존 회원 재로그인 때 반복 노출하지 않으며, 직접 선택 관심사와 확인된 자유입력 해석값만 올바르게 저장하고 Skip을 허용하는지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</si>
  <si>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QA-P04</t>
  </si>
  <si>
    <t>My Page → LF-09 / 개인화 설정</t>
  </si>
  <si>
    <r>
      <rPr>
        <rFont val="Arial"/>
        <b/>
        <color rgb="FF202124"/>
        <sz val="11.0"/>
      </rPr>
      <t>현재 선택·저장 선호</t>
    </r>
    <r>
      <rPr>
        <rFont val="Arial"/>
        <b val="0"/>
        <color rgb="FF202124"/>
        <sz val="11.0"/>
      </rPr>
      <t>를 조회하고 선호를 수정·초기화할 수 있어야 합니다.</t>
    </r>
  </si>
  <si>
    <r>
      <rPr>
        <rFont val="Arial"/>
        <b/>
        <color rgb="FF202124"/>
        <sz val="11.0"/>
      </rPr>
      <t>①</t>
    </r>
    <r>
      <rPr>
        <rFont val="Arial"/>
        <b val="0"/>
        <color rgb="FF202124"/>
        <sz val="11.0"/>
      </rPr>
      <t xml:space="preserve"> 저장한 A 장소 또는 B 루트 재접근
</t>
    </r>
    <r>
      <rPr>
        <rFont val="Arial"/>
        <b/>
        <color rgb="FF202124"/>
        <sz val="11.0"/>
      </rPr>
      <t>②</t>
    </r>
    <r>
      <rPr>
        <rFont val="Arial"/>
        <b val="0"/>
        <color rgb="FF202124"/>
        <sz val="11.0"/>
      </rPr>
      <t xml:space="preserve"> 저장 관심사·추가 선호 조회·수정
</t>
    </r>
    <r>
      <rPr>
        <rFont val="Arial"/>
        <b/>
        <color rgb="FF202124"/>
        <sz val="11.0"/>
      </rPr>
      <t>③</t>
    </r>
    <r>
      <rPr>
        <rFont val="Arial"/>
        <b val="0"/>
        <color rgb="FF202124"/>
        <sz val="11.0"/>
      </rPr>
      <t xml:space="preserve"> 선호 초기화 후 변경 결과 확인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선택 상태와 선호정보가 정확히 유지·표시됩니다.
</t>
    </r>
    <r>
      <rPr>
        <rFont val="Arial"/>
        <b/>
        <color rgb="FF202124"/>
        <sz val="11.0"/>
      </rPr>
      <t>추가 확인:</t>
    </r>
    <r>
      <rPr>
        <rFont val="Arial"/>
        <b val="0"/>
        <color rgb="FF202124"/>
        <sz val="11.0"/>
      </rPr>
      <t xml:space="preserve"> 로그인된 계정의 최소 정보가 My Page에 올바르게 표시되는지 확인합니다(새 계정 관리 기능은 요구하지 않음).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</si>
  <si>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처음 장소·루트를 저장하는 동작은 QA-A08·B05에서 이미 확인하므로 반복하지 않습니다. 여기서는 My Page의 현재 선택 재접근과 선호 수정·초기화에 집중합니다.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</si>
  <si>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현재 선택과 개인화 선호를 구분해 조회·관리할 수 있는지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</si>
  <si>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My Page에서 현재 선택 재접근과 관심사·추가 선호의 수정·초기화가 이해되는지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</si>
  <si>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현재 선택·선호 수정 및 초기화가 다른 상태를 바꾸지 않는지 확인하고, 로그인한 계정의 최소 정보가 올바르게 조회·표시되는지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</si>
  <si>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LF-04·05·08 → 로그인
B 로그인 경계</t>
  </si>
  <si>
    <r>
      <rPr>
        <rFont val="Arial"/>
        <b/>
        <color rgb="FF202124"/>
        <sz val="11.0"/>
      </rPr>
      <t>비회원에게 허용되는 현재 루트 작업과 새 후보 조합 생성</t>
    </r>
    <r>
      <rPr>
        <rFont val="Arial"/>
        <b val="0"/>
        <color rgb="FF202124"/>
        <sz val="11.0"/>
      </rPr>
      <t>을 구분해야 합니다.</t>
    </r>
  </si>
  <si>
    <r>
      <rPr>
        <rFont val="Arial"/>
        <b/>
        <color rgb="FF202124"/>
        <sz val="11.0"/>
      </rPr>
      <t>첫 생성·확정</t>
    </r>
    <r>
      <rPr>
        <rFont val="Arial"/>
        <b val="0"/>
        <color rgb="FF202124"/>
        <sz val="11.0"/>
      </rPr>
      <t xml:space="preserve">, 현재 루트 수정·복구, 새 장소 조합 요청, </t>
    </r>
    <r>
      <rPr>
        <rFont val="Arial"/>
        <b/>
        <color rgb="FF202124"/>
        <sz val="11.0"/>
      </rPr>
      <t>로그인 취소</t>
    </r>
    <r>
      <rPr>
        <rFont val="Arial"/>
        <b val="0"/>
        <color rgb="FF202124"/>
        <sz val="11.0"/>
      </rPr>
      <t xml:space="preserve">를 확인해주세요.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비회원 첫 생성·선택·현재 루트 편집을 허용하고 새 후보 조합 생성 직전에만 로그인 유도합니다. 취소 시 기존 상태를 유지합니다.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</si>
  <si>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1차에는 B 첫 생성·확정의 비회원 허용만 QA-B01·B05에서 확인합니다. 현재 루트 편집과 새 후보 생성 시 로그인 유도·취소 후 상태 보존은 후속 상세 점검으로 관리합니다.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</si>
  <si>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B 첫 생성·확정·현재 루트 편집 허용과 새 후보 생성 시 로그인 경계가 정책에 맞는지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</si>
  <si>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새 후보 생성 시 로그인 안내와 로그인 취소 후 복귀 경로가 이해되도록 표시되는지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</si>
  <si>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새 후보 조합 생성 전에 로그인 유도하고 취소해도 기존 조건·루트가 유지되는지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</si>
  <si>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QA-C01</t>
  </si>
  <si>
    <t>A·B 주요 화면 전체
모바일 웹 핵심 흐름</t>
  </si>
  <si>
    <r>
      <rPr>
        <rFont val="Arial"/>
        <b/>
        <color rgb="FF202124"/>
        <sz val="11.0"/>
      </rPr>
      <t>iPhone Safari와 Android Chrome</t>
    </r>
    <r>
      <rPr>
        <rFont val="Arial"/>
        <b val="0"/>
        <color rgb="FF202124"/>
        <sz val="11.0"/>
      </rPr>
      <t>에서 핵심 흐름을 정상 완료할 수 있어야 합니다.</t>
    </r>
  </si>
  <si>
    <r>
      <rPr>
        <rFont val="Arial"/>
        <b/>
        <color rgb="FF202124"/>
        <sz val="11.0"/>
      </rPr>
      <t>두 환경</t>
    </r>
    <r>
      <rPr>
        <rFont val="Arial"/>
        <b val="0"/>
        <color rgb="FF202124"/>
        <sz val="11.0"/>
      </rPr>
      <t xml:space="preserve">에서 A/B 입력 → 결과 → 선택 → 저장·재접근을 확인해주세요.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주요 화면·정보·버튼이 작동하고 핵심 작업을 막는 표시·터치 오류가 없습니다.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</si>
  <si>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핵심 흐름을 막는 표시·터치 오류는 1차에 발견 즉시 기록합니다. 키보드·지도 제스처·여러 화면 크기의 세부 예외는 QA-C03의 후속 점검으로 구분합니다.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</si>
  <si>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iPhone Safari·Android Chrome에서 A/B 핵심 이용 흐름을 끝까지 완료할 수 있는지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</si>
  <si>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두 브라우저에서 중요한 정보나 버튼이 가려지거나 터치할 수 없는 문제가 없는지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</si>
  <si>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실제 모바일 환경에서 입력·추천·선택·저장·재접근이 정상 동작하는지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</si>
  <si>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1차+후속/P1</t>
  </si>
  <si>
    <t>A·B 추천 요청·결과 생성
시스템 오류·재시도</t>
  </si>
  <si>
    <r>
      <rPr>
        <rFont val="Arial"/>
        <b/>
        <color rgb="FF202124"/>
        <sz val="11.0"/>
      </rPr>
      <t>시스템 실패 원인</t>
    </r>
    <r>
      <rPr>
        <rFont val="Arial"/>
        <b val="0"/>
        <color rgb="FF202124"/>
        <sz val="11.0"/>
      </rPr>
      <t>을 구분하고 재시도하거나 복귀할 수 있어야 합니다.</t>
    </r>
  </si>
  <si>
    <r>
      <rPr>
        <rFont val="Arial"/>
        <b/>
        <color rgb="FF202124"/>
        <sz val="11.0"/>
      </rPr>
      <t>1차:</t>
    </r>
    <r>
      <rPr>
        <rFont val="Arial"/>
        <b val="0"/>
        <color rgb="FF202124"/>
        <sz val="11.0"/>
      </rPr>
      <t xml:space="preserve"> 대표 시스템 처리 오류 1건을 재현해주세요. </t>
    </r>
    <r>
      <rPr>
        <rFont val="Arial"/>
        <b/>
        <color rgb="FF202124"/>
        <sz val="11.0"/>
      </rPr>
      <t>무한 로딩</t>
    </r>
    <r>
      <rPr>
        <rFont val="Arial"/>
        <b val="0"/>
        <color rgb="FF202124"/>
        <sz val="11.0"/>
      </rPr>
      <t xml:space="preserve"> 없이 오류 안내·재시도 또는 복귀가 가능해야 합니다.
</t>
    </r>
    <r>
      <rPr>
        <rFont val="Arial"/>
        <b/>
        <color rgb="FF202124"/>
        <sz val="11.0"/>
      </rPr>
      <t>후속:</t>
    </r>
    <r>
      <rPr>
        <rFont val="Arial"/>
        <b val="0"/>
        <color rgb="FF202124"/>
        <sz val="11.0"/>
      </rPr>
      <t xml:space="preserve"> AI 처리 실패·외부 API 오류·네트워크 장애를 구분하여 상세 대응을 확인해주세요.</t>
    </r>
  </si>
  <si>
    <r>
      <rPr>
        <rFont val="Arial"/>
        <b/>
        <i val="0"/>
        <color rgb="FF2B3A4C"/>
        <sz val="11.0"/>
      </rPr>
      <t>단계별 결과:</t>
    </r>
    <r>
      <rPr>
        <rFont val="Arial"/>
        <b val="0"/>
        <i val="0"/>
        <color rgb="FF303A49"/>
        <sz val="11.0"/>
      </rPr>
      <t xml:space="preserve"> 1차: 미확인 / 후속: 미확인
</t>
    </r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1차에는 대표 시스템 오류 1건의 오류 안내·재시도 또는 복귀를 확인하고, AI·외부 API·네트워크 오류별 상세 대응은 후속에서 확인합니다. 추천 0건과 시스템 오류를 구분하며 핵심 사용이 전면 차단되면 P0로 상향 대응합니다.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</si>
  <si>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추천 후보 0건과 시스템 처리 실패를 구분하고 각 상황에 맞는 안내를 제공하는지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</si>
  <si>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처리 실패 시 무한 로딩 대신 오류 안내·재시도 또는 복귀 방법이 명확히 보이는지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</si>
  <si>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대표 오류 1건과 후속 AI·API·네트워크 실패에서 오류 처리·재시도가 작동하는지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</si>
  <si>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t>후속/P2</t>
  </si>
  <si>
    <t>A·B·로그인 주요 모바일 화면</t>
  </si>
  <si>
    <r>
      <rPr>
        <rFont val="Arial"/>
        <b/>
        <color rgb="FF202124"/>
        <sz val="11.0"/>
      </rPr>
      <t>키보드·뒤로가기·지도 제스처·화면 크기 변화</t>
    </r>
    <r>
      <rPr>
        <rFont val="Arial"/>
        <b val="0"/>
        <color rgb="FF202124"/>
        <sz val="11.0"/>
      </rPr>
      <t>에서도 안정적으로 사용할 수 있어야 합니다.</t>
    </r>
  </si>
  <si>
    <r>
      <rPr>
        <rFont val="Arial"/>
        <b/>
        <color rgb="FF202124"/>
        <sz val="11.0"/>
      </rPr>
      <t>키보드 가림</t>
    </r>
    <r>
      <rPr>
        <rFont val="Arial"/>
        <b val="0"/>
        <color rgb="FF202124"/>
        <sz val="11.0"/>
      </rPr>
      <t xml:space="preserve">, </t>
    </r>
    <r>
      <rPr>
        <rFont val="Arial"/>
        <b/>
        <color rgb="FF202124"/>
        <sz val="11.0"/>
      </rPr>
      <t>뒤로가기 상태 손실</t>
    </r>
    <r>
      <rPr>
        <rFont val="Arial"/>
        <b val="0"/>
        <color rgb="FF202124"/>
        <sz val="11.0"/>
      </rPr>
      <t xml:space="preserve">, 지도·카드 조작 충돌, 작은 화면의 잘림을 확인해주세요.
</t>
    </r>
    <r>
      <rPr>
        <rFont val="Arial"/>
        <b/>
        <color rgb="FF202124"/>
        <sz val="11.0"/>
      </rPr>
      <t>기대:</t>
    </r>
    <r>
      <rPr>
        <rFont val="Arial"/>
        <b val="0"/>
        <color rgb="FF202124"/>
        <sz val="11.0"/>
      </rPr>
      <t xml:space="preserve"> 입력·주요 버튼을 사용할 수 있고 중요 정보·저장 상태가 의도치 않게 손실되지 않습니다.</t>
    </r>
  </si>
  <si>
    <r>
      <rPr>
        <rFont val="Arial"/>
        <b/>
        <i val="0"/>
        <color rgb="FF2B3A4C"/>
        <sz val="11.0"/>
      </rPr>
      <t>검증 시 참고:</t>
    </r>
    <r>
      <rPr>
        <rFont val="Arial"/>
        <b val="0"/>
        <i val="0"/>
        <color rgb="FF303A49"/>
        <sz val="11.0"/>
      </rPr>
      <t xml:space="preserve"> 키보드·뒤로가기·지도 제스처·화면 크기의 세부 안정성은 후속 점검입니다. 핵심 흐름을 막는 문제가 확인되면 QA-C01의 1차 이슈로 기록해 우선 대응합니다.
</t>
    </r>
    <r>
      <rPr>
        <rFont val="Arial"/>
        <b/>
        <i val="0"/>
        <color rgb="FF2B3A4C"/>
        <sz val="11.0"/>
      </rPr>
      <t>공통 문제·후속 조치:</t>
    </r>
    <r>
      <rPr>
        <rFont val="Arial"/>
        <b val="0"/>
        <i val="0"/>
        <color rgb="FF303A49"/>
        <sz val="11.0"/>
      </rPr>
      <t xml:space="preserve"> </t>
    </r>
    <r>
      <rPr>
        <rFont val="Arial"/>
        <b val="0"/>
        <i/>
        <color rgb="FF8E99A5"/>
        <sz val="11.0"/>
      </rPr>
      <t>발견 시 기록 (없으면 특이사항 없음)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</si>
  <si>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키보드·뒤로가기·지도 제스처·작은 화면에서도 중요한 조작이 가능한지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</si>
  <si>
    <r>
      <rPr>
        <rFont val="Arial"/>
        <b/>
        <i val="0"/>
        <color rgb="FF2B3A4C"/>
        <sz val="10.0"/>
      </rPr>
      <t>확인 기준:</t>
    </r>
    <r>
      <rPr>
        <rFont val="Arial"/>
        <b val="0"/>
        <i val="0"/>
        <color rgb="FF303A49"/>
        <sz val="10.0"/>
      </rPr>
      <t xml:space="preserve"> 모바일 입력·화면 이동·지도 조작 중 정보나 저장 상태가 손실되지 않는지 확인합니다.
</t>
    </r>
    <r>
      <rPr>
        <rFont val="Arial"/>
        <b/>
        <i val="0"/>
        <color rgb="FF2B3A4C"/>
        <sz val="10.0"/>
      </rPr>
      <t>검토 결과: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미실시</t>
    </r>
    <r>
      <rPr>
        <rFont val="Arial"/>
        <b val="0"/>
        <i val="0"/>
        <color rgb="FF303A49"/>
        <sz val="10.0"/>
      </rPr>
      <t xml:space="preserve">
</t>
    </r>
    <r>
      <rPr>
        <rFont val="Arial"/>
        <b/>
        <i val="0"/>
        <color rgb="FF2B3A4C"/>
        <sz val="10.0"/>
      </rPr>
      <t>확인 내용:</t>
    </r>
    <r>
      <rPr>
        <rFont val="Arial"/>
        <b val="0"/>
        <i val="0"/>
        <color rgb="FF303A49"/>
        <sz val="10.0"/>
      </rPr>
      <t xml:space="preserve"> </t>
    </r>
    <r>
      <rPr>
        <rFont val="Arial"/>
        <b val="0"/>
        <i/>
        <color rgb="FF8E99A5"/>
        <sz val="10.0"/>
      </rPr>
      <t>실제 확인한 내용이나 문제를 간단히 기록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</si>
</sst>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rlito"/>
      <scheme val="minor"/>
    </font>
    <font>
      <b/>
      <sz val="17.0"/>
      <color rgb="FFFFFFFF"/>
      <name val="Arial"/>
    </font>
    <font>
      <sz val="10.0"/>
      <color rgb="FF394753"/>
      <name val="Arial"/>
    </font>
    <font>
      <b/>
      <sz val="11.0"/>
      <color rgb="FF253341"/>
      <name val="Arial"/>
    </font>
    <font>
      <b/>
      <sz val="10.0"/>
      <color rgb="FF263746"/>
      <name val="Arial"/>
    </font>
    <font>
      <sz val="10.0"/>
      <color rgb="FF202124"/>
      <name val="Arial"/>
    </font>
    <font>
      <b/>
      <sz val="15.0"/>
      <color rgb="FF202124"/>
      <name val="Arial"/>
    </font>
    <font>
      <b/>
      <sz val="10.0"/>
      <color rgb="FF334963"/>
      <name val="Arial"/>
    </font>
    <font>
      <b/>
      <sz val="10.0"/>
      <color rgb="FF364152"/>
      <name val="Arial"/>
    </font>
    <font>
      <b/>
      <sz val="13.0"/>
      <color rgb="FF245B91"/>
      <name val="Arial"/>
    </font>
    <font>
      <u/>
      <sz val="10.0"/>
      <color rgb="FF1A73E8"/>
      <name val="Arial"/>
    </font>
    <font>
      <sz val="10.0"/>
      <color rgb="FF364152"/>
      <name val="Arial"/>
    </font>
    <font>
      <sz val="11.0"/>
      <color rgb="FF202124"/>
      <name val="Arial"/>
    </font>
    <font>
      <b/>
      <sz val="11.0"/>
      <color rgb="FF1967D2"/>
      <name val="Arial"/>
    </font>
    <font>
      <u/>
      <sz val="11.0"/>
      <color rgb="FF1967D2"/>
      <name val="Arial"/>
    </font>
    <font>
      <u/>
      <sz val="11.0"/>
      <color rgb="FF1967D2"/>
      <name val="Arial"/>
    </font>
    <font>
      <sz val="11.0"/>
      <color rgb="FF1967D2"/>
      <name val="Arial"/>
    </font>
    <font>
      <b/>
      <sz val="11.0"/>
      <color rgb="FFFFFFFF"/>
      <name val="Arial"/>
    </font>
    <font>
      <sz val="10.0"/>
      <color rgb="FF303A49"/>
      <name val="Arial"/>
    </font>
    <font>
      <sz val="10.0"/>
      <color rgb="FF99A0A8"/>
      <name val="Arial"/>
    </font>
    <font>
      <color theme="1"/>
      <name val="Carlito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263746"/>
        <bgColor rgb="FF263746"/>
      </patternFill>
    </fill>
    <fill>
      <patternFill patternType="solid">
        <fgColor rgb="FFF1F3F5"/>
        <bgColor rgb="FFF1F3F5"/>
      </patternFill>
    </fill>
    <fill>
      <patternFill patternType="solid">
        <fgColor rgb="FFE0E7ED"/>
        <bgColor rgb="FFE0E7ED"/>
      </patternFill>
    </fill>
    <fill>
      <patternFill patternType="solid">
        <fgColor rgb="FFFFFFFF"/>
        <bgColor rgb="FFFFFFFF"/>
      </patternFill>
    </fill>
    <fill>
      <patternFill patternType="solid">
        <fgColor rgb="FFEDF2F7"/>
        <bgColor rgb="FFEDF2F7"/>
      </patternFill>
    </fill>
    <fill>
      <patternFill patternType="solid">
        <fgColor rgb="FFF6F7F9"/>
        <bgColor rgb="FFF6F7F9"/>
      </patternFill>
    </fill>
    <fill>
      <patternFill patternType="solid">
        <fgColor rgb="FFFFFDF6"/>
        <bgColor rgb="FFFFFDF6"/>
      </patternFill>
    </fill>
    <fill>
      <patternFill patternType="solid">
        <fgColor rgb="FFE8F1FC"/>
        <bgColor rgb="FFE8F1FC"/>
      </patternFill>
    </fill>
    <fill>
      <patternFill patternType="solid">
        <fgColor rgb="FFEAF1F7"/>
        <bgColor rgb="FFEAF1F7"/>
      </patternFill>
    </fill>
    <fill>
      <patternFill patternType="solid">
        <fgColor rgb="FFF8F9FA"/>
        <bgColor rgb="FFF8F9FA"/>
      </patternFill>
    </fill>
    <fill>
      <patternFill patternType="solid">
        <fgColor rgb="FF2D3D4F"/>
        <bgColor rgb="FF2D3D4F"/>
      </patternFill>
    </fill>
    <fill>
      <patternFill patternType="solid">
        <fgColor rgb="FFF2F4F6"/>
        <bgColor rgb="FFF2F4F6"/>
      </patternFill>
    </fill>
    <fill>
      <patternFill patternType="solid">
        <fgColor rgb="FFFFF8E1"/>
        <bgColor rgb="FFFFF8E1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left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6" fontId="7" numFmtId="0" xfId="0" applyAlignment="1" applyFill="1" applyFont="1">
      <alignment horizontal="center" readingOrder="0" shrinkToFit="0" vertical="center" wrapText="0"/>
    </xf>
    <xf borderId="2" fillId="3" fontId="8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top" wrapText="1"/>
    </xf>
    <xf borderId="1" fillId="8" fontId="5" numFmtId="0" xfId="0" applyAlignment="1" applyBorder="1" applyFill="1" applyFont="1">
      <alignment horizontal="left" shrinkToFit="0" vertical="top" wrapText="1"/>
    </xf>
    <xf borderId="3" fillId="9" fontId="9" numFmtId="0" xfId="0" applyAlignment="1" applyBorder="1" applyFill="1" applyFont="1">
      <alignment horizontal="center" shrinkToFit="0" vertical="center" wrapText="1"/>
    </xf>
    <xf borderId="3" fillId="3" fontId="8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top" wrapText="1"/>
    </xf>
    <xf borderId="3" fillId="3" fontId="8" numFmtId="0" xfId="0" applyAlignment="1" applyBorder="1" applyFill="1" applyFont="1">
      <alignment horizontal="center" readingOrder="0" shrinkToFit="0" vertical="center" wrapText="1"/>
    </xf>
    <xf borderId="3" fillId="10" fontId="8" numFmtId="0" xfId="0" applyAlignment="1" applyBorder="1" applyFill="1" applyFont="1">
      <alignment horizontal="center" readingOrder="0" shrinkToFit="0" vertical="center" wrapText="1"/>
    </xf>
    <xf borderId="4" fillId="11" fontId="11" numFmtId="0" xfId="0" applyAlignment="1" applyBorder="1" applyFill="1" applyFont="1">
      <alignment horizontal="center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0" fillId="5" fontId="9" numFmtId="0" xfId="0" applyAlignment="1" applyFill="1" applyFont="1">
      <alignment horizontal="center" shrinkToFit="0" vertical="center" wrapText="1"/>
    </xf>
    <xf borderId="0" fillId="5" fontId="11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5" numFmtId="0" xfId="0" applyAlignment="1" applyFont="1">
      <alignment shrinkToFit="0" vertical="top" wrapText="1"/>
    </xf>
    <xf borderId="0" fillId="0" fontId="16" numFmtId="0" xfId="0" applyAlignment="1" applyFont="1">
      <alignment shrinkToFit="0" vertical="top" wrapText="1"/>
    </xf>
    <xf borderId="0" fillId="12" fontId="17" numFmtId="0" xfId="0" applyAlignment="1" applyFill="1" applyFont="1">
      <alignment horizontal="center" readingOrder="0" shrinkToFit="0" vertical="center" wrapText="1"/>
    </xf>
    <xf borderId="0" fillId="12" fontId="17" numFmtId="0" xfId="0" applyAlignment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shrinkToFit="0" vertical="top" wrapText="1"/>
    </xf>
    <xf borderId="5" fillId="0" fontId="12" numFmtId="0" xfId="0" applyAlignment="1" applyBorder="1" applyFont="1">
      <alignment readingOrder="0" shrinkToFit="0" vertical="top" wrapText="1"/>
    </xf>
    <xf borderId="6" fillId="5" fontId="18" numFmtId="49" xfId="0" applyAlignment="1" applyBorder="1" applyFill="1" applyFont="1" applyNumberFormat="1">
      <alignment horizontal="center" readingOrder="0" shrinkToFit="0" vertical="top" wrapText="1"/>
    </xf>
    <xf borderId="1" fillId="13" fontId="19" numFmtId="49" xfId="0" applyAlignment="1" applyBorder="1" applyFill="1" applyFont="1" applyNumberFormat="1">
      <alignment horizontal="center" readingOrder="0" shrinkToFit="0" vertical="center" wrapText="1"/>
    </xf>
    <xf borderId="1" fillId="5" fontId="18" numFmtId="49" xfId="0" applyAlignment="1" applyBorder="1" applyFill="1" applyFont="1" applyNumberFormat="1">
      <alignment horizontal="center" readingOrder="0" shrinkToFit="0" vertical="top" wrapText="1"/>
    </xf>
    <xf borderId="1" fillId="14" fontId="12" numFmtId="0" xfId="0" applyAlignment="1" applyBorder="1" applyFill="1" applyFont="1">
      <alignment shrinkToFit="0" vertical="top" wrapText="1"/>
    </xf>
    <xf borderId="1" fillId="8" fontId="5" numFmtId="0" xfId="0" applyAlignment="1" applyBorder="1" applyFill="1" applyFont="1">
      <alignment horizontal="left" readingOrder="0" shrinkToFit="0" vertical="top" wrapText="1"/>
    </xf>
    <xf borderId="6" fillId="13" fontId="19" numFmtId="49" xfId="0" applyAlignment="1" applyBorder="1" applyFill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readingOrder="0" shrinkToFit="0" vertical="top" wrapText="1"/>
    </xf>
    <xf borderId="0" fillId="0" fontId="20" numFmtId="0" xfId="0" applyAlignment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2D3D4F"/>
          <bgColor rgb="FF2D3D4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2D3D4F"/>
        </left>
        <right style="thin">
          <color rgb="FF2D3D4F"/>
        </right>
        <top style="thin">
          <color rgb="FF2D3D4F"/>
        </top>
        <bottom style="thin">
          <color rgb="FF2D3D4F"/>
        </bottom>
      </border>
    </dxf>
    <dxf>
      <font>
        <b/>
        <color rgb="FF5F6368"/>
      </font>
      <fill>
        <patternFill patternType="solid">
          <fgColor rgb="FFF1F3F4"/>
          <bgColor rgb="FFF1F3F4"/>
        </patternFill>
      </fill>
      <border/>
    </dxf>
    <dxf>
      <font>
        <b/>
        <color rgb="FF8A5D00"/>
      </font>
      <fill>
        <patternFill patternType="solid">
          <fgColor rgb="FFFEF7E0"/>
          <bgColor rgb="FFFEF7E0"/>
        </patternFill>
      </fill>
      <border/>
    </dxf>
    <dxf>
      <font>
        <b/>
        <color rgb="FFA52714"/>
      </font>
      <fill>
        <patternFill patternType="solid">
          <fgColor rgb="FFFCE8E6"/>
          <bgColor rgb="FFFCE8E6"/>
        </patternFill>
      </fill>
      <border/>
    </dxf>
  </dxfs>
  <tableStyles count="1">
    <tableStyle count="4" pivot="0" name="기능 점검표_v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5:J40" displayName="KonnectV1Checklist" name="KonnectV1Checklist" id="1">
  <tableColumns count="10">
    <tableColumn name="점검 ID" id="1"/>
    <tableColumn name="점검 단계·중요도" id="2"/>
    <tableColumn name="관련 화면·흐름" id="3"/>
    <tableColumn name="사용자 관점 요구사항" id="4"/>
    <tableColumn name="실제 확인 방법·기대 결과" id="5"/>
    <tableColumn name="비고·후속 조치" id="6"/>
    <tableColumn name="민규 · Product" id="7"/>
    <tableColumn name="희영님 · UX/UI" id="8"/>
    <tableColumn name="용택님 · Tech" id="9"/>
    <tableColumn name="최종 점검 결과" id="10"/>
  </tableColumns>
  <tableStyleInfo name="기능 점검표_v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0" outlineLevelRow="1"/>
  <cols>
    <col customWidth="1" min="1" max="1" width="9.38"/>
    <col customWidth="1" min="2" max="2" width="12.63"/>
    <col customWidth="1" min="3" max="3" width="21.5"/>
    <col customWidth="1" min="4" max="4" width="38.88"/>
    <col customWidth="1" min="5" max="5" width="56.63"/>
    <col customWidth="1" min="6" max="6" width="40.13"/>
    <col customWidth="1" min="7" max="7" width="23.88"/>
    <col customWidth="1" min="8" max="8" width="24.5"/>
    <col customWidth="1" min="9" max="9" width="26.38"/>
    <col customWidth="1" min="10" max="10" width="19.5"/>
    <col customWidth="1" min="11" max="26" width="8.63"/>
  </cols>
  <sheetData>
    <row r="1" ht="25.5" customHeight="1">
      <c r="A1" s="8" t="s">
        <v>14</v>
      </c>
      <c r="H1" s="9" t="s">
        <v>15</v>
      </c>
    </row>
    <row r="2" ht="23.25" customHeight="1">
      <c r="A2" s="10" t="s">
        <v>16</v>
      </c>
      <c r="B2" s="13">
        <f>COUNTA(A16:A40)</f>
        <v>25</v>
      </c>
      <c r="C2" s="14" t="s">
        <v>19</v>
      </c>
      <c r="D2" s="13">
        <f>COUNTIFS(B16:B40,"*1차*")</f>
        <v>19</v>
      </c>
      <c r="E2" s="14" t="s">
        <v>20</v>
      </c>
      <c r="F2" s="13">
        <f>COUNTIFS(B16:B40,"*후속*")</f>
        <v>7</v>
      </c>
      <c r="G2" s="16" t="s">
        <v>22</v>
      </c>
      <c r="H2" s="17" t="s">
        <v>23</v>
      </c>
      <c r="I2" s="14" t="s">
        <v>24</v>
      </c>
      <c r="J2" s="18" t="s">
        <v>25</v>
      </c>
    </row>
    <row r="3" ht="9.0" customHeight="1" collapsed="1">
      <c r="A3" s="19"/>
      <c r="B3" s="20"/>
      <c r="C3" s="19"/>
      <c r="D3" s="20"/>
      <c r="E3" s="19"/>
      <c r="F3" s="20"/>
      <c r="G3" s="19"/>
      <c r="H3" s="19"/>
      <c r="I3" s="19"/>
      <c r="J3" s="21"/>
    </row>
    <row r="4" hidden="1" outlineLevel="1">
      <c r="A4" s="22" t="s">
        <v>26</v>
      </c>
    </row>
    <row r="5" hidden="1" outlineLevel="1">
      <c r="A5" s="22" t="s">
        <v>27</v>
      </c>
    </row>
    <row r="6" hidden="1" outlineLevel="1">
      <c r="A6" s="23" t="s">
        <v>28</v>
      </c>
    </row>
    <row r="7" hidden="1" outlineLevel="1">
      <c r="A7" s="23" t="s">
        <v>30</v>
      </c>
    </row>
    <row r="8" hidden="1" outlineLevel="1">
      <c r="A8" s="23" t="s">
        <v>32</v>
      </c>
    </row>
    <row r="9" hidden="1" outlineLevel="1">
      <c r="A9" s="22" t="s">
        <v>33</v>
      </c>
    </row>
    <row r="10" hidden="1" outlineLevel="1">
      <c r="A10" s="23" t="s">
        <v>34</v>
      </c>
    </row>
    <row r="11" hidden="1" outlineLevel="1">
      <c r="A11" s="24" t="s">
        <v>35</v>
      </c>
      <c r="B11" s="25" t="str">
        <f>HYPERLINK("https://github.com/codyssey-ai-native-final-team/planning/blob/main/product/README.md","Product README")</f>
        <v>Product README</v>
      </c>
      <c r="C11" s="26" t="str">
        <f>HYPERLINK("https://github.com/codyssey-ai-native-final-team/planning/blob/main/product/02-input-recommendation-rules.md","입력·추천 02")</f>
        <v>입력·추천 02</v>
      </c>
      <c r="D11" s="26" t="str">
        <f>HYPERLINK("https://github.com/codyssey-ai-native-final-team/planning/blob/main/product/03-data-trust-policy.md","가격·신뢰 03")</f>
        <v>가격·신뢰 03</v>
      </c>
      <c r="E11" s="26" t="str">
        <f>HYPERLINK("https://github.com/codyssey-ai-native-final-team/planning/blob/main/product/04-route-time-rules.md","루트·시간 04")</f>
        <v>루트·시간 04</v>
      </c>
      <c r="F11" s="26" t="str">
        <f>HYPERLINK("https://github.com/codyssey-ai-native-final-team/planning/blob/main/product/05-ux-handoff.md","UX 인계 05")</f>
        <v>UX 인계 05</v>
      </c>
      <c r="G11" s="26" t="str">
        <f>HYPERLINK("https://github.com/codyssey-ai-native-final-team/planning/blob/main/product/07-mobile-web-guideline.md","모바일 웹 07")</f>
        <v>모바일 웹 07</v>
      </c>
    </row>
    <row r="12" hidden="1" outlineLevel="1">
      <c r="A12" s="24" t="s">
        <v>38</v>
      </c>
      <c r="B12" s="25" t="str">
        <f>HYPERLINK("https://www.figma.com/design/YQCE7JXtvy0fP1pLTwnS7k/Konnect-Design?node-id=343-2398","Figma 10/8")</f>
        <v>Figma 10/8</v>
      </c>
      <c r="C12" s="26" t="str">
        <f>HYPERLINK("https://github.com/codyssey-ai-native-final-team/docs/issues/8#issuecomment-6058161730","A 변경 #8")</f>
        <v>A 변경 #8</v>
      </c>
      <c r="D12" s="26" t="str">
        <f>HYPERLINK("https://github.com/codyssey-ai-native-final-team/docs/issues/9#issuecomment-6058162107","B 변경 #9")</f>
        <v>B 변경 #9</v>
      </c>
      <c r="E12" s="26" t="str">
        <f>HYPERLINK("https://github.com/codyssey-ai-native-final-team/docs/issues/12#issuecomment-6058162532","저장·가입 #12")</f>
        <v>저장·가입 #12</v>
      </c>
      <c r="F12" s="26" t="str">
        <f>HYPERLINK("https://github.com/codyssey-ai-native-final-team/docs/issues/10#issuecomment-6058162918","기존 일정 #10")</f>
        <v>기존 일정 #10</v>
      </c>
      <c r="G12" s="27" t="s">
        <v>39</v>
      </c>
    </row>
    <row r="13" hidden="1" outlineLevel="1">
      <c r="A13" s="22" t="s">
        <v>40</v>
      </c>
    </row>
    <row r="14" hidden="1" outlineLevel="1">
      <c r="A14" s="23" t="s">
        <v>42</v>
      </c>
    </row>
    <row r="15" ht="31.5" customHeight="1">
      <c r="A15" s="28" t="s">
        <v>5</v>
      </c>
      <c r="B15" s="28" t="s">
        <v>44</v>
      </c>
      <c r="C15" s="28" t="s">
        <v>7</v>
      </c>
      <c r="D15" s="28" t="s">
        <v>8</v>
      </c>
      <c r="E15" s="28" t="s">
        <v>45</v>
      </c>
      <c r="F15" s="29" t="s">
        <v>46</v>
      </c>
      <c r="G15" s="29" t="s">
        <v>47</v>
      </c>
      <c r="H15" s="29" t="s">
        <v>48</v>
      </c>
      <c r="I15" s="29" t="s">
        <v>49</v>
      </c>
      <c r="J15" s="28" t="s">
        <v>50</v>
      </c>
    </row>
    <row r="16" ht="105.0" customHeight="1">
      <c r="A16" s="30" t="s">
        <v>51</v>
      </c>
      <c r="B16" s="30" t="s">
        <v>53</v>
      </c>
      <c r="C16" s="30" t="s">
        <v>54</v>
      </c>
      <c r="D16" s="30" t="s">
        <v>55</v>
      </c>
      <c r="E16" s="30" t="s">
        <v>56</v>
      </c>
      <c r="F16" s="31" t="s">
        <v>57</v>
      </c>
      <c r="G16" s="32" t="s">
        <v>58</v>
      </c>
      <c r="H16" s="33" t="s">
        <v>59</v>
      </c>
      <c r="I16" s="34" t="s">
        <v>60</v>
      </c>
      <c r="J16" s="35" t="s">
        <v>61</v>
      </c>
    </row>
    <row r="17" ht="105.0" customHeight="1">
      <c r="A17" s="30" t="s">
        <v>64</v>
      </c>
      <c r="B17" s="30" t="s">
        <v>65</v>
      </c>
      <c r="C17" s="30" t="s">
        <v>66</v>
      </c>
      <c r="D17" s="30" t="s">
        <v>67</v>
      </c>
      <c r="E17" s="30" t="s">
        <v>68</v>
      </c>
      <c r="F17" s="31" t="s">
        <v>69</v>
      </c>
      <c r="G17" s="37" t="s">
        <v>59</v>
      </c>
      <c r="H17" s="34" t="s">
        <v>70</v>
      </c>
      <c r="I17" s="34" t="s">
        <v>71</v>
      </c>
      <c r="J17" s="35" t="s">
        <v>61</v>
      </c>
    </row>
    <row r="18" ht="105.0" customHeight="1">
      <c r="A18" s="30" t="s">
        <v>73</v>
      </c>
      <c r="B18" s="30" t="s">
        <v>53</v>
      </c>
      <c r="C18" s="30" t="s">
        <v>74</v>
      </c>
      <c r="D18" s="30" t="s">
        <v>75</v>
      </c>
      <c r="E18" s="30" t="s">
        <v>76</v>
      </c>
      <c r="F18" s="31" t="s">
        <v>77</v>
      </c>
      <c r="G18" s="32" t="s">
        <v>78</v>
      </c>
      <c r="H18" s="33" t="s">
        <v>59</v>
      </c>
      <c r="I18" s="34" t="s">
        <v>79</v>
      </c>
      <c r="J18" s="35" t="s">
        <v>61</v>
      </c>
    </row>
    <row r="19" ht="105.0" customHeight="1">
      <c r="A19" s="30" t="s">
        <v>80</v>
      </c>
      <c r="B19" s="30" t="s">
        <v>53</v>
      </c>
      <c r="C19" s="30" t="s">
        <v>81</v>
      </c>
      <c r="D19" s="30" t="s">
        <v>82</v>
      </c>
      <c r="E19" s="30" t="s">
        <v>83</v>
      </c>
      <c r="F19" s="31" t="s">
        <v>84</v>
      </c>
      <c r="G19" s="32" t="s">
        <v>85</v>
      </c>
      <c r="H19" s="33" t="s">
        <v>59</v>
      </c>
      <c r="I19" s="34" t="s">
        <v>86</v>
      </c>
      <c r="J19" s="35" t="s">
        <v>61</v>
      </c>
    </row>
    <row r="20" ht="105.0" customHeight="1">
      <c r="A20" s="30" t="s">
        <v>87</v>
      </c>
      <c r="B20" s="30" t="s">
        <v>53</v>
      </c>
      <c r="C20" s="30" t="s">
        <v>88</v>
      </c>
      <c r="D20" s="30" t="s">
        <v>89</v>
      </c>
      <c r="E20" s="30" t="s">
        <v>90</v>
      </c>
      <c r="F20" s="31" t="s">
        <v>91</v>
      </c>
      <c r="G20" s="32" t="s">
        <v>92</v>
      </c>
      <c r="H20" s="33" t="s">
        <v>59</v>
      </c>
      <c r="I20" s="34" t="s">
        <v>93</v>
      </c>
      <c r="J20" s="35" t="s">
        <v>61</v>
      </c>
    </row>
    <row r="21" ht="217.5" customHeight="1">
      <c r="A21" s="30" t="s">
        <v>94</v>
      </c>
      <c r="B21" s="30" t="s">
        <v>53</v>
      </c>
      <c r="C21" s="30" t="s">
        <v>95</v>
      </c>
      <c r="D21" s="30" t="s">
        <v>96</v>
      </c>
      <c r="E21" s="38" t="s">
        <v>97</v>
      </c>
      <c r="F21" s="31" t="s">
        <v>98</v>
      </c>
      <c r="G21" s="32" t="s">
        <v>99</v>
      </c>
      <c r="H21" s="34" t="s">
        <v>100</v>
      </c>
      <c r="I21" s="34" t="s">
        <v>101</v>
      </c>
      <c r="J21" s="35" t="s">
        <v>61</v>
      </c>
    </row>
    <row r="22" ht="150.0" customHeight="1">
      <c r="A22" s="30" t="s">
        <v>102</v>
      </c>
      <c r="B22" s="30" t="s">
        <v>53</v>
      </c>
      <c r="C22" s="30" t="s">
        <v>103</v>
      </c>
      <c r="D22" s="30" t="s">
        <v>104</v>
      </c>
      <c r="E22" s="30" t="s">
        <v>105</v>
      </c>
      <c r="F22" s="31" t="s">
        <v>106</v>
      </c>
      <c r="G22" s="32" t="s">
        <v>107</v>
      </c>
      <c r="H22" s="34" t="s">
        <v>108</v>
      </c>
      <c r="I22" s="34" t="s">
        <v>109</v>
      </c>
      <c r="J22" s="35" t="s">
        <v>61</v>
      </c>
    </row>
    <row r="23" ht="183.75" customHeight="1">
      <c r="A23" s="30" t="s">
        <v>110</v>
      </c>
      <c r="B23" s="30" t="s">
        <v>53</v>
      </c>
      <c r="C23" s="30" t="s">
        <v>111</v>
      </c>
      <c r="D23" s="30" t="s">
        <v>112</v>
      </c>
      <c r="E23" s="38" t="s">
        <v>113</v>
      </c>
      <c r="F23" s="31" t="s">
        <v>114</v>
      </c>
      <c r="G23" s="32" t="s">
        <v>115</v>
      </c>
      <c r="H23" s="34" t="s">
        <v>116</v>
      </c>
      <c r="I23" s="34" t="s">
        <v>117</v>
      </c>
      <c r="J23" s="35" t="s">
        <v>61</v>
      </c>
    </row>
    <row r="24" ht="105.0" customHeight="1">
      <c r="A24" s="30" t="s">
        <v>13</v>
      </c>
      <c r="B24" s="30" t="s">
        <v>118</v>
      </c>
      <c r="C24" s="30" t="s">
        <v>119</v>
      </c>
      <c r="D24" s="30" t="s">
        <v>120</v>
      </c>
      <c r="E24" s="30" t="s">
        <v>121</v>
      </c>
      <c r="F24" s="31" t="s">
        <v>122</v>
      </c>
      <c r="G24" s="32" t="s">
        <v>123</v>
      </c>
      <c r="H24" s="33" t="s">
        <v>59</v>
      </c>
      <c r="I24" s="34" t="s">
        <v>124</v>
      </c>
      <c r="J24" s="35" t="s">
        <v>61</v>
      </c>
    </row>
    <row r="25" ht="105.0" customHeight="1">
      <c r="A25" s="30" t="s">
        <v>21</v>
      </c>
      <c r="B25" s="30" t="s">
        <v>118</v>
      </c>
      <c r="C25" s="30" t="s">
        <v>125</v>
      </c>
      <c r="D25" s="30" t="s">
        <v>126</v>
      </c>
      <c r="E25" s="30" t="s">
        <v>127</v>
      </c>
      <c r="F25" s="31" t="s">
        <v>128</v>
      </c>
      <c r="G25" s="32" t="s">
        <v>129</v>
      </c>
      <c r="H25" s="34" t="s">
        <v>130</v>
      </c>
      <c r="I25" s="34" t="s">
        <v>131</v>
      </c>
      <c r="J25" s="35" t="s">
        <v>61</v>
      </c>
    </row>
    <row r="26" ht="221.25" customHeight="1">
      <c r="A26" s="30" t="s">
        <v>132</v>
      </c>
      <c r="B26" s="30" t="s">
        <v>53</v>
      </c>
      <c r="C26" s="30" t="s">
        <v>133</v>
      </c>
      <c r="D26" s="30" t="s">
        <v>134</v>
      </c>
      <c r="E26" s="38" t="s">
        <v>135</v>
      </c>
      <c r="F26" s="31" t="s">
        <v>136</v>
      </c>
      <c r="G26" s="32" t="s">
        <v>137</v>
      </c>
      <c r="H26" s="34" t="s">
        <v>138</v>
      </c>
      <c r="I26" s="34" t="s">
        <v>139</v>
      </c>
      <c r="J26" s="35" t="s">
        <v>61</v>
      </c>
    </row>
    <row r="27" ht="105.0" customHeight="1">
      <c r="A27" s="30" t="s">
        <v>140</v>
      </c>
      <c r="B27" s="30" t="s">
        <v>53</v>
      </c>
      <c r="C27" s="30" t="s">
        <v>141</v>
      </c>
      <c r="D27" s="30" t="s">
        <v>142</v>
      </c>
      <c r="E27" s="30" t="s">
        <v>143</v>
      </c>
      <c r="F27" s="31" t="s">
        <v>144</v>
      </c>
      <c r="G27" s="32" t="s">
        <v>145</v>
      </c>
      <c r="H27" s="33" t="s">
        <v>59</v>
      </c>
      <c r="I27" s="34" t="s">
        <v>146</v>
      </c>
      <c r="J27" s="35" t="s">
        <v>61</v>
      </c>
    </row>
    <row r="28" ht="206.25" customHeight="1">
      <c r="A28" s="30" t="s">
        <v>147</v>
      </c>
      <c r="B28" s="30" t="s">
        <v>53</v>
      </c>
      <c r="C28" s="30" t="s">
        <v>148</v>
      </c>
      <c r="D28" s="30" t="s">
        <v>149</v>
      </c>
      <c r="E28" s="38" t="s">
        <v>150</v>
      </c>
      <c r="F28" s="31" t="s">
        <v>151</v>
      </c>
      <c r="G28" s="32" t="s">
        <v>152</v>
      </c>
      <c r="H28" s="34" t="s">
        <v>153</v>
      </c>
      <c r="I28" s="34" t="s">
        <v>154</v>
      </c>
      <c r="J28" s="35" t="s">
        <v>61</v>
      </c>
    </row>
    <row r="29" ht="105.0" customHeight="1">
      <c r="A29" s="30" t="s">
        <v>155</v>
      </c>
      <c r="B29" s="30" t="s">
        <v>53</v>
      </c>
      <c r="C29" s="30" t="s">
        <v>156</v>
      </c>
      <c r="D29" s="30" t="s">
        <v>157</v>
      </c>
      <c r="E29" s="30" t="s">
        <v>158</v>
      </c>
      <c r="F29" s="31" t="s">
        <v>159</v>
      </c>
      <c r="G29" s="32" t="s">
        <v>160</v>
      </c>
      <c r="H29" s="34" t="s">
        <v>161</v>
      </c>
      <c r="I29" s="34" t="s">
        <v>162</v>
      </c>
      <c r="J29" s="35" t="s">
        <v>61</v>
      </c>
    </row>
    <row r="30" ht="213.75" customHeight="1">
      <c r="A30" s="30" t="s">
        <v>163</v>
      </c>
      <c r="B30" s="30" t="s">
        <v>53</v>
      </c>
      <c r="C30" s="30" t="s">
        <v>164</v>
      </c>
      <c r="D30" s="30" t="s">
        <v>165</v>
      </c>
      <c r="E30" s="38" t="s">
        <v>166</v>
      </c>
      <c r="F30" s="31" t="s">
        <v>167</v>
      </c>
      <c r="G30" s="32" t="s">
        <v>168</v>
      </c>
      <c r="H30" s="34" t="s">
        <v>169</v>
      </c>
      <c r="I30" s="34" t="s">
        <v>170</v>
      </c>
      <c r="J30" s="35" t="s">
        <v>61</v>
      </c>
    </row>
    <row r="31" ht="105.0" customHeight="1">
      <c r="A31" s="30" t="s">
        <v>31</v>
      </c>
      <c r="B31" s="30" t="s">
        <v>118</v>
      </c>
      <c r="C31" s="30" t="s">
        <v>171</v>
      </c>
      <c r="D31" s="30" t="s">
        <v>172</v>
      </c>
      <c r="E31" s="30" t="s">
        <v>173</v>
      </c>
      <c r="F31" s="31" t="s">
        <v>174</v>
      </c>
      <c r="G31" s="32" t="s">
        <v>175</v>
      </c>
      <c r="H31" s="34" t="s">
        <v>176</v>
      </c>
      <c r="I31" s="34" t="s">
        <v>177</v>
      </c>
      <c r="J31" s="35" t="s">
        <v>61</v>
      </c>
    </row>
    <row r="32" ht="105.0" customHeight="1">
      <c r="A32" s="30" t="s">
        <v>37</v>
      </c>
      <c r="B32" s="30" t="s">
        <v>178</v>
      </c>
      <c r="C32" s="30" t="s">
        <v>179</v>
      </c>
      <c r="D32" s="30" t="s">
        <v>180</v>
      </c>
      <c r="E32" s="30" t="s">
        <v>181</v>
      </c>
      <c r="F32" s="31" t="s">
        <v>182</v>
      </c>
      <c r="G32" s="32" t="s">
        <v>183</v>
      </c>
      <c r="H32" s="33" t="s">
        <v>59</v>
      </c>
      <c r="I32" s="34" t="s">
        <v>184</v>
      </c>
      <c r="J32" s="35" t="s">
        <v>61</v>
      </c>
    </row>
    <row r="33" ht="168.75" customHeight="1">
      <c r="A33" s="30" t="s">
        <v>185</v>
      </c>
      <c r="B33" s="30" t="s">
        <v>65</v>
      </c>
      <c r="C33" s="30" t="s">
        <v>186</v>
      </c>
      <c r="D33" s="30" t="s">
        <v>187</v>
      </c>
      <c r="E33" s="38" t="s">
        <v>188</v>
      </c>
      <c r="F33" s="31" t="s">
        <v>189</v>
      </c>
      <c r="G33" s="32" t="s">
        <v>190</v>
      </c>
      <c r="H33" s="34" t="s">
        <v>191</v>
      </c>
      <c r="I33" s="34" t="s">
        <v>192</v>
      </c>
      <c r="J33" s="35" t="s">
        <v>61</v>
      </c>
    </row>
    <row r="34" ht="105.0" customHeight="1">
      <c r="A34" s="30" t="s">
        <v>193</v>
      </c>
      <c r="B34" s="30" t="s">
        <v>53</v>
      </c>
      <c r="C34" s="30" t="s">
        <v>194</v>
      </c>
      <c r="D34" s="30" t="s">
        <v>195</v>
      </c>
      <c r="E34" s="30" t="s">
        <v>196</v>
      </c>
      <c r="F34" s="31" t="s">
        <v>197</v>
      </c>
      <c r="G34" s="32" t="s">
        <v>198</v>
      </c>
      <c r="H34" s="33" t="s">
        <v>59</v>
      </c>
      <c r="I34" s="34" t="s">
        <v>199</v>
      </c>
      <c r="J34" s="35" t="s">
        <v>61</v>
      </c>
    </row>
    <row r="35" ht="210.0" customHeight="1">
      <c r="A35" s="30" t="s">
        <v>200</v>
      </c>
      <c r="B35" s="30" t="s">
        <v>65</v>
      </c>
      <c r="C35" s="30" t="s">
        <v>201</v>
      </c>
      <c r="D35" s="30" t="s">
        <v>202</v>
      </c>
      <c r="E35" s="38" t="s">
        <v>203</v>
      </c>
      <c r="F35" s="31" t="s">
        <v>204</v>
      </c>
      <c r="G35" s="32" t="s">
        <v>205</v>
      </c>
      <c r="H35" s="34" t="s">
        <v>206</v>
      </c>
      <c r="I35" s="34" t="s">
        <v>207</v>
      </c>
      <c r="J35" s="35" t="s">
        <v>61</v>
      </c>
    </row>
    <row r="36" ht="168.75" customHeight="1">
      <c r="A36" s="30" t="s">
        <v>208</v>
      </c>
      <c r="B36" s="30" t="s">
        <v>65</v>
      </c>
      <c r="C36" s="30" t="s">
        <v>209</v>
      </c>
      <c r="D36" s="30" t="s">
        <v>210</v>
      </c>
      <c r="E36" s="38" t="s">
        <v>211</v>
      </c>
      <c r="F36" s="31" t="s">
        <v>212</v>
      </c>
      <c r="G36" s="32" t="s">
        <v>213</v>
      </c>
      <c r="H36" s="34" t="s">
        <v>214</v>
      </c>
      <c r="I36" s="34" t="s">
        <v>215</v>
      </c>
      <c r="J36" s="35" t="s">
        <v>61</v>
      </c>
    </row>
    <row r="37" ht="105.0" customHeight="1">
      <c r="A37" s="30" t="s">
        <v>43</v>
      </c>
      <c r="B37" s="30" t="s">
        <v>118</v>
      </c>
      <c r="C37" s="30" t="s">
        <v>216</v>
      </c>
      <c r="D37" s="30" t="s">
        <v>217</v>
      </c>
      <c r="E37" s="30" t="s">
        <v>218</v>
      </c>
      <c r="F37" s="31" t="s">
        <v>219</v>
      </c>
      <c r="G37" s="32" t="s">
        <v>220</v>
      </c>
      <c r="H37" s="34" t="s">
        <v>221</v>
      </c>
      <c r="I37" s="34" t="s">
        <v>222</v>
      </c>
      <c r="J37" s="35" t="s">
        <v>61</v>
      </c>
    </row>
    <row r="38" ht="105.0" customHeight="1">
      <c r="A38" s="30" t="s">
        <v>223</v>
      </c>
      <c r="B38" s="30" t="s">
        <v>65</v>
      </c>
      <c r="C38" s="30" t="s">
        <v>224</v>
      </c>
      <c r="D38" s="30" t="s">
        <v>225</v>
      </c>
      <c r="E38" s="30" t="s">
        <v>226</v>
      </c>
      <c r="F38" s="31" t="s">
        <v>227</v>
      </c>
      <c r="G38" s="32" t="s">
        <v>228</v>
      </c>
      <c r="H38" s="34" t="s">
        <v>229</v>
      </c>
      <c r="I38" s="34" t="s">
        <v>230</v>
      </c>
      <c r="J38" s="35" t="s">
        <v>61</v>
      </c>
    </row>
    <row r="39" ht="142.5" customHeight="1">
      <c r="A39" s="30" t="s">
        <v>23</v>
      </c>
      <c r="B39" s="30" t="s">
        <v>231</v>
      </c>
      <c r="C39" s="30" t="s">
        <v>232</v>
      </c>
      <c r="D39" s="30" t="s">
        <v>233</v>
      </c>
      <c r="E39" s="30" t="s">
        <v>234</v>
      </c>
      <c r="F39" s="31" t="s">
        <v>235</v>
      </c>
      <c r="G39" s="32" t="s">
        <v>236</v>
      </c>
      <c r="H39" s="34" t="s">
        <v>237</v>
      </c>
      <c r="I39" s="34" t="s">
        <v>238</v>
      </c>
      <c r="J39" s="35" t="s">
        <v>61</v>
      </c>
    </row>
    <row r="40" ht="105.0" customHeight="1">
      <c r="A40" s="30" t="s">
        <v>63</v>
      </c>
      <c r="B40" s="30" t="s">
        <v>239</v>
      </c>
      <c r="C40" s="30" t="s">
        <v>240</v>
      </c>
      <c r="D40" s="30" t="s">
        <v>241</v>
      </c>
      <c r="E40" s="30" t="s">
        <v>242</v>
      </c>
      <c r="F40" s="31" t="s">
        <v>243</v>
      </c>
      <c r="G40" s="37" t="s">
        <v>59</v>
      </c>
      <c r="H40" s="34" t="s">
        <v>244</v>
      </c>
      <c r="I40" s="34" t="s">
        <v>245</v>
      </c>
      <c r="J40" s="35" t="s">
        <v>61</v>
      </c>
    </row>
    <row r="41" ht="15.75" customHeight="1">
      <c r="A41" s="39"/>
      <c r="B41" s="39"/>
    </row>
    <row r="42" ht="15.75" customHeight="1">
      <c r="A42" s="39"/>
      <c r="B42" s="39"/>
    </row>
    <row r="43" ht="15.75" customHeight="1">
      <c r="A43" s="39"/>
      <c r="B43" s="39"/>
    </row>
    <row r="44" ht="15.75" customHeight="1">
      <c r="A44" s="39"/>
      <c r="B44" s="39"/>
    </row>
    <row r="45" ht="15.75" customHeight="1">
      <c r="A45" s="39"/>
      <c r="B45" s="39"/>
    </row>
    <row r="46" ht="15.75" customHeight="1">
      <c r="A46" s="39"/>
      <c r="B46" s="39"/>
    </row>
    <row r="47" ht="15.75" customHeight="1">
      <c r="A47" s="39"/>
      <c r="B47" s="39"/>
    </row>
    <row r="48" ht="15.75" customHeight="1">
      <c r="A48" s="39"/>
      <c r="B48" s="39"/>
    </row>
    <row r="49" ht="15.75" customHeight="1">
      <c r="A49" s="39"/>
      <c r="B49" s="39"/>
    </row>
    <row r="50" ht="15.75" customHeight="1">
      <c r="A50" s="39"/>
      <c r="B50" s="39"/>
    </row>
    <row r="51" ht="15.75" customHeight="1">
      <c r="A51" s="39"/>
      <c r="B51" s="39"/>
    </row>
    <row r="52" ht="15.75" customHeight="1">
      <c r="A52" s="39"/>
      <c r="B52" s="39"/>
    </row>
    <row r="53" ht="15.75" customHeight="1">
      <c r="A53" s="39"/>
      <c r="B53" s="39"/>
    </row>
    <row r="54" ht="15.75" customHeight="1">
      <c r="A54" s="39"/>
      <c r="B54" s="39"/>
    </row>
    <row r="55" ht="15.75" customHeight="1">
      <c r="A55" s="39"/>
      <c r="B55" s="39"/>
    </row>
    <row r="56" ht="15.75" customHeight="1">
      <c r="A56" s="39"/>
      <c r="B56" s="39"/>
    </row>
    <row r="57" ht="15.75" customHeight="1">
      <c r="A57" s="39"/>
      <c r="B57" s="39"/>
    </row>
    <row r="58" ht="15.75" customHeight="1">
      <c r="A58" s="39"/>
      <c r="B58" s="39"/>
    </row>
    <row r="59" ht="15.75" customHeight="1">
      <c r="A59" s="39"/>
      <c r="B59" s="39"/>
    </row>
    <row r="60" ht="15.75" customHeight="1">
      <c r="A60" s="39"/>
      <c r="B60" s="39"/>
    </row>
    <row r="61" ht="15.75" customHeight="1">
      <c r="A61" s="39"/>
      <c r="B61" s="39"/>
    </row>
    <row r="62" ht="15.75" customHeight="1">
      <c r="A62" s="39"/>
      <c r="B62" s="39"/>
    </row>
    <row r="63" ht="15.75" customHeight="1">
      <c r="A63" s="39"/>
      <c r="B63" s="39"/>
    </row>
    <row r="64" ht="15.75" customHeight="1">
      <c r="A64" s="39"/>
      <c r="B64" s="39"/>
    </row>
    <row r="65" ht="15.75" customHeight="1">
      <c r="A65" s="39"/>
      <c r="B65" s="39"/>
    </row>
    <row r="66" ht="15.75" customHeight="1">
      <c r="A66" s="39"/>
      <c r="B66" s="39"/>
    </row>
    <row r="67" ht="15.75" customHeight="1">
      <c r="A67" s="39"/>
      <c r="B67" s="39"/>
    </row>
    <row r="68" ht="15.75" customHeight="1">
      <c r="A68" s="39"/>
      <c r="B68" s="39"/>
    </row>
    <row r="69" ht="15.75" customHeight="1">
      <c r="A69" s="39"/>
      <c r="B69" s="39"/>
    </row>
    <row r="70" ht="15.75" customHeight="1">
      <c r="A70" s="39"/>
      <c r="B70" s="39"/>
    </row>
    <row r="71" ht="15.75" customHeight="1">
      <c r="A71" s="39"/>
      <c r="B71" s="39"/>
    </row>
    <row r="72" ht="15.75" customHeight="1">
      <c r="A72" s="39"/>
      <c r="B72" s="39"/>
    </row>
    <row r="73" ht="15.75" customHeight="1">
      <c r="A73" s="39"/>
      <c r="B73" s="39"/>
    </row>
    <row r="74" ht="15.75" customHeight="1">
      <c r="A74" s="39"/>
      <c r="B74" s="39"/>
    </row>
    <row r="75" ht="15.75" customHeight="1">
      <c r="A75" s="39"/>
      <c r="B75" s="39"/>
    </row>
    <row r="76" ht="15.75" customHeight="1">
      <c r="A76" s="39"/>
      <c r="B76" s="39"/>
    </row>
    <row r="77" ht="15.75" customHeight="1">
      <c r="A77" s="39"/>
      <c r="B77" s="39"/>
    </row>
    <row r="78" ht="15.75" customHeight="1">
      <c r="A78" s="39"/>
      <c r="B78" s="39"/>
    </row>
    <row r="79" ht="15.75" customHeight="1">
      <c r="A79" s="39"/>
      <c r="B79" s="39"/>
    </row>
    <row r="80" ht="15.75" customHeight="1">
      <c r="A80" s="39"/>
      <c r="B80" s="39"/>
    </row>
    <row r="81" ht="15.75" customHeight="1">
      <c r="A81" s="39"/>
      <c r="B81" s="39"/>
    </row>
    <row r="82" ht="15.75" customHeight="1">
      <c r="A82" s="39"/>
      <c r="B82" s="39"/>
    </row>
    <row r="83" ht="15.75" customHeight="1">
      <c r="A83" s="39"/>
      <c r="B83" s="39"/>
    </row>
    <row r="84" ht="15.75" customHeight="1">
      <c r="A84" s="39"/>
      <c r="B84" s="39"/>
    </row>
    <row r="85" ht="15.75" customHeight="1">
      <c r="A85" s="39"/>
      <c r="B85" s="39"/>
    </row>
    <row r="86" ht="15.75" customHeight="1">
      <c r="A86" s="39"/>
      <c r="B86" s="39"/>
    </row>
    <row r="87" ht="15.75" customHeight="1">
      <c r="A87" s="39"/>
      <c r="B87" s="39"/>
    </row>
    <row r="88" ht="15.75" customHeight="1">
      <c r="A88" s="39"/>
      <c r="B88" s="39"/>
    </row>
    <row r="89" ht="15.75" customHeight="1">
      <c r="A89" s="39"/>
      <c r="B89" s="39"/>
    </row>
    <row r="90" ht="15.75" customHeight="1">
      <c r="A90" s="39"/>
      <c r="B90" s="39"/>
    </row>
    <row r="91" ht="15.75" customHeight="1">
      <c r="A91" s="39"/>
      <c r="B91" s="39"/>
    </row>
    <row r="92" ht="15.75" customHeight="1">
      <c r="A92" s="39"/>
      <c r="B92" s="39"/>
    </row>
    <row r="93" ht="15.75" customHeight="1">
      <c r="A93" s="39"/>
      <c r="B93" s="39"/>
    </row>
    <row r="94" ht="15.75" customHeight="1">
      <c r="A94" s="39"/>
      <c r="B94" s="39"/>
    </row>
    <row r="95" ht="15.75" customHeight="1">
      <c r="A95" s="39"/>
      <c r="B95" s="39"/>
    </row>
    <row r="96" ht="15.75" customHeight="1">
      <c r="A96" s="39"/>
      <c r="B96" s="39"/>
    </row>
    <row r="97" ht="15.75" customHeight="1">
      <c r="A97" s="39"/>
      <c r="B97" s="39"/>
    </row>
    <row r="98" ht="15.75" customHeight="1">
      <c r="A98" s="39"/>
      <c r="B98" s="39"/>
    </row>
    <row r="99" ht="15.75" customHeight="1">
      <c r="A99" s="39"/>
      <c r="B99" s="39"/>
    </row>
    <row r="100" ht="15.75" customHeight="1">
      <c r="A100" s="39"/>
      <c r="B100" s="39"/>
    </row>
    <row r="101" ht="15.75" customHeight="1">
      <c r="A101" s="39"/>
      <c r="B101" s="39"/>
    </row>
    <row r="102" ht="15.75" customHeight="1">
      <c r="A102" s="39"/>
      <c r="B102" s="39"/>
    </row>
    <row r="103" ht="15.75" customHeight="1">
      <c r="A103" s="39"/>
      <c r="B103" s="39"/>
    </row>
    <row r="104" ht="15.75" customHeight="1">
      <c r="A104" s="39"/>
      <c r="B104" s="39"/>
    </row>
    <row r="105" ht="15.75" customHeight="1">
      <c r="A105" s="39"/>
      <c r="B105" s="39"/>
    </row>
    <row r="106" ht="15.75" customHeight="1">
      <c r="A106" s="39"/>
      <c r="B106" s="39"/>
    </row>
    <row r="107" ht="15.75" customHeight="1">
      <c r="A107" s="39"/>
      <c r="B107" s="39"/>
    </row>
    <row r="108" ht="15.75" customHeight="1">
      <c r="A108" s="39"/>
      <c r="B108" s="39"/>
    </row>
    <row r="109" ht="15.75" customHeight="1">
      <c r="A109" s="39"/>
      <c r="B109" s="39"/>
    </row>
    <row r="110" ht="15.75" customHeight="1">
      <c r="A110" s="39"/>
      <c r="B110" s="39"/>
    </row>
    <row r="111" ht="15.75" customHeight="1">
      <c r="A111" s="39"/>
      <c r="B111" s="39"/>
    </row>
    <row r="112" ht="15.75" customHeight="1">
      <c r="A112" s="39"/>
      <c r="B112" s="39"/>
    </row>
    <row r="113" ht="15.75" customHeight="1">
      <c r="A113" s="39"/>
      <c r="B113" s="39"/>
    </row>
    <row r="114" ht="15.75" customHeight="1">
      <c r="A114" s="39"/>
      <c r="B114" s="39"/>
    </row>
    <row r="115" ht="15.75" customHeight="1">
      <c r="A115" s="39"/>
      <c r="B115" s="39"/>
    </row>
    <row r="116" ht="15.75" customHeight="1">
      <c r="A116" s="39"/>
      <c r="B116" s="39"/>
    </row>
    <row r="117" ht="15.75" customHeight="1">
      <c r="A117" s="39"/>
      <c r="B117" s="39"/>
    </row>
    <row r="118" ht="15.75" customHeight="1">
      <c r="A118" s="39"/>
      <c r="B118" s="39"/>
    </row>
    <row r="119" ht="15.75" customHeight="1">
      <c r="A119" s="39"/>
      <c r="B119" s="39"/>
    </row>
    <row r="120" ht="15.75" customHeight="1">
      <c r="A120" s="39"/>
      <c r="B120" s="39"/>
    </row>
    <row r="121" ht="15.75" customHeight="1">
      <c r="A121" s="39"/>
      <c r="B121" s="39"/>
    </row>
    <row r="122" ht="15.75" customHeight="1">
      <c r="A122" s="39"/>
      <c r="B122" s="39"/>
    </row>
    <row r="123" ht="15.75" customHeight="1">
      <c r="A123" s="39"/>
      <c r="B123" s="39"/>
    </row>
    <row r="124" ht="15.75" customHeight="1">
      <c r="A124" s="39"/>
      <c r="B124" s="39"/>
    </row>
    <row r="125" ht="15.75" customHeight="1">
      <c r="A125" s="39"/>
      <c r="B125" s="39"/>
    </row>
    <row r="126" ht="15.75" customHeight="1">
      <c r="A126" s="39"/>
      <c r="B126" s="39"/>
    </row>
    <row r="127" ht="15.75" customHeight="1">
      <c r="A127" s="39"/>
      <c r="B127" s="39"/>
    </row>
    <row r="128" ht="15.75" customHeight="1">
      <c r="A128" s="39"/>
      <c r="B128" s="39"/>
    </row>
    <row r="129" ht="15.75" customHeight="1">
      <c r="A129" s="39"/>
      <c r="B129" s="39"/>
    </row>
    <row r="130" ht="15.75" customHeight="1">
      <c r="A130" s="39"/>
      <c r="B130" s="39"/>
    </row>
    <row r="131" ht="15.75" customHeight="1">
      <c r="A131" s="39"/>
      <c r="B131" s="39"/>
    </row>
    <row r="132" ht="15.75" customHeight="1">
      <c r="A132" s="39"/>
      <c r="B132" s="39"/>
    </row>
    <row r="133" ht="15.75" customHeight="1">
      <c r="A133" s="39"/>
      <c r="B133" s="39"/>
    </row>
    <row r="134" ht="15.75" customHeight="1">
      <c r="A134" s="39"/>
      <c r="B134" s="39"/>
    </row>
    <row r="135" ht="15.75" customHeight="1">
      <c r="A135" s="39"/>
      <c r="B135" s="39"/>
    </row>
    <row r="136" ht="15.75" customHeight="1">
      <c r="A136" s="39"/>
      <c r="B136" s="39"/>
    </row>
    <row r="137" ht="15.75" customHeight="1">
      <c r="A137" s="39"/>
      <c r="B137" s="39"/>
    </row>
    <row r="138" ht="15.75" customHeight="1">
      <c r="A138" s="39"/>
      <c r="B138" s="39"/>
    </row>
    <row r="139" ht="15.75" customHeight="1">
      <c r="A139" s="39"/>
      <c r="B139" s="39"/>
    </row>
    <row r="140" ht="15.75" customHeight="1">
      <c r="A140" s="39"/>
      <c r="B140" s="39"/>
    </row>
    <row r="141" ht="15.75" customHeight="1">
      <c r="A141" s="39"/>
      <c r="B141" s="39"/>
    </row>
    <row r="142" ht="15.75" customHeight="1">
      <c r="A142" s="39"/>
      <c r="B142" s="39"/>
    </row>
    <row r="143" ht="15.75" customHeight="1">
      <c r="A143" s="39"/>
      <c r="B143" s="39"/>
    </row>
    <row r="144" ht="15.75" customHeight="1">
      <c r="A144" s="39"/>
      <c r="B144" s="39"/>
    </row>
    <row r="145" ht="15.75" customHeight="1">
      <c r="A145" s="39"/>
      <c r="B145" s="39"/>
    </row>
    <row r="146" ht="15.75" customHeight="1">
      <c r="A146" s="39"/>
      <c r="B146" s="39"/>
    </row>
    <row r="147" ht="15.75" customHeight="1">
      <c r="A147" s="39"/>
      <c r="B147" s="39"/>
    </row>
    <row r="148" ht="15.75" customHeight="1">
      <c r="A148" s="39"/>
      <c r="B148" s="39"/>
    </row>
    <row r="149" ht="15.75" customHeight="1">
      <c r="A149" s="39"/>
      <c r="B149" s="39"/>
    </row>
    <row r="150" ht="15.75" customHeight="1">
      <c r="A150" s="39"/>
      <c r="B150" s="39"/>
    </row>
    <row r="151" ht="15.75" customHeight="1">
      <c r="A151" s="39"/>
      <c r="B151" s="39"/>
    </row>
    <row r="152" ht="15.75" customHeight="1">
      <c r="A152" s="39"/>
      <c r="B152" s="39"/>
    </row>
    <row r="153" ht="15.75" customHeight="1">
      <c r="A153" s="39"/>
      <c r="B153" s="39"/>
    </row>
    <row r="154" ht="15.75" customHeight="1">
      <c r="A154" s="39"/>
      <c r="B154" s="39"/>
    </row>
    <row r="155" ht="15.75" customHeight="1">
      <c r="A155" s="39"/>
      <c r="B155" s="39"/>
    </row>
    <row r="156" ht="15.75" customHeight="1">
      <c r="A156" s="39"/>
      <c r="B156" s="39"/>
    </row>
    <row r="157" ht="15.75" customHeight="1">
      <c r="A157" s="39"/>
      <c r="B157" s="39"/>
    </row>
    <row r="158" ht="15.75" customHeight="1">
      <c r="A158" s="39"/>
      <c r="B158" s="39"/>
    </row>
    <row r="159" ht="15.75" customHeight="1">
      <c r="A159" s="39"/>
      <c r="B159" s="39"/>
    </row>
    <row r="160" ht="15.75" customHeight="1">
      <c r="A160" s="39"/>
      <c r="B160" s="39"/>
    </row>
    <row r="161" ht="15.75" customHeight="1">
      <c r="A161" s="39"/>
      <c r="B161" s="39"/>
    </row>
    <row r="162" ht="15.75" customHeight="1">
      <c r="A162" s="39"/>
      <c r="B162" s="39"/>
    </row>
    <row r="163" ht="15.75" customHeight="1">
      <c r="A163" s="39"/>
      <c r="B163" s="39"/>
    </row>
    <row r="164" ht="15.75" customHeight="1">
      <c r="A164" s="39"/>
      <c r="B164" s="39"/>
    </row>
    <row r="165" ht="15.75" customHeight="1">
      <c r="A165" s="39"/>
      <c r="B165" s="39"/>
    </row>
    <row r="166" ht="15.75" customHeight="1">
      <c r="A166" s="39"/>
      <c r="B166" s="39"/>
    </row>
    <row r="167" ht="15.75" customHeight="1">
      <c r="A167" s="39"/>
      <c r="B167" s="39"/>
    </row>
    <row r="168" ht="15.75" customHeight="1">
      <c r="A168" s="39"/>
      <c r="B168" s="39"/>
    </row>
    <row r="169" ht="15.75" customHeight="1">
      <c r="A169" s="39"/>
      <c r="B169" s="39"/>
    </row>
    <row r="170" ht="15.75" customHeight="1">
      <c r="A170" s="39"/>
      <c r="B170" s="39"/>
    </row>
    <row r="171" ht="15.75" customHeight="1">
      <c r="A171" s="39"/>
      <c r="B171" s="39"/>
    </row>
    <row r="172" ht="15.75" customHeight="1">
      <c r="A172" s="39"/>
      <c r="B172" s="39"/>
    </row>
    <row r="173" ht="15.75" customHeight="1">
      <c r="A173" s="39"/>
      <c r="B173" s="39"/>
    </row>
    <row r="174" ht="15.75" customHeight="1">
      <c r="A174" s="39"/>
      <c r="B174" s="39"/>
    </row>
    <row r="175" ht="15.75" customHeight="1">
      <c r="A175" s="39"/>
      <c r="B175" s="39"/>
    </row>
    <row r="176" ht="15.75" customHeight="1">
      <c r="A176" s="39"/>
      <c r="B176" s="39"/>
    </row>
    <row r="177" ht="15.75" customHeight="1">
      <c r="A177" s="39"/>
      <c r="B177" s="39"/>
    </row>
    <row r="178" ht="15.75" customHeight="1">
      <c r="A178" s="39"/>
      <c r="B178" s="39"/>
    </row>
    <row r="179" ht="15.75" customHeight="1">
      <c r="A179" s="39"/>
      <c r="B179" s="39"/>
    </row>
    <row r="180" ht="15.75" customHeight="1">
      <c r="A180" s="39"/>
      <c r="B180" s="39"/>
    </row>
    <row r="181" ht="15.75" customHeight="1">
      <c r="A181" s="39"/>
      <c r="B181" s="39"/>
    </row>
    <row r="182" ht="15.75" customHeight="1">
      <c r="A182" s="39"/>
      <c r="B182" s="39"/>
    </row>
    <row r="183" ht="15.75" customHeight="1">
      <c r="A183" s="39"/>
      <c r="B183" s="39"/>
    </row>
    <row r="184" ht="15.75" customHeight="1">
      <c r="A184" s="39"/>
      <c r="B184" s="39"/>
    </row>
    <row r="185" ht="15.75" customHeight="1">
      <c r="A185" s="39"/>
      <c r="B185" s="39"/>
    </row>
    <row r="186" ht="15.75" customHeight="1">
      <c r="A186" s="39"/>
      <c r="B186" s="39"/>
    </row>
    <row r="187" ht="15.75" customHeight="1">
      <c r="A187" s="39"/>
      <c r="B187" s="39"/>
    </row>
    <row r="188" ht="15.75" customHeight="1">
      <c r="A188" s="39"/>
      <c r="B188" s="39"/>
    </row>
    <row r="189" ht="15.75" customHeight="1">
      <c r="A189" s="39"/>
      <c r="B189" s="39"/>
    </row>
    <row r="190" ht="15.75" customHeight="1">
      <c r="A190" s="39"/>
      <c r="B190" s="39"/>
    </row>
    <row r="191" ht="15.75" customHeight="1">
      <c r="A191" s="39"/>
      <c r="B191" s="39"/>
    </row>
    <row r="192" ht="15.75" customHeight="1">
      <c r="A192" s="39"/>
      <c r="B192" s="39"/>
    </row>
    <row r="193" ht="15.75" customHeight="1">
      <c r="A193" s="39"/>
      <c r="B193" s="39"/>
    </row>
    <row r="194" ht="15.75" customHeight="1">
      <c r="A194" s="39"/>
      <c r="B194" s="39"/>
    </row>
    <row r="195" ht="15.75" customHeight="1">
      <c r="A195" s="39"/>
      <c r="B195" s="39"/>
    </row>
    <row r="196" ht="15.75" customHeight="1">
      <c r="A196" s="39"/>
      <c r="B196" s="39"/>
    </row>
    <row r="197" ht="15.75" customHeight="1">
      <c r="A197" s="39"/>
      <c r="B197" s="39"/>
    </row>
    <row r="198" ht="15.75" customHeight="1">
      <c r="A198" s="39"/>
      <c r="B198" s="39"/>
    </row>
    <row r="199" ht="15.75" customHeight="1">
      <c r="A199" s="39"/>
      <c r="B199" s="39"/>
    </row>
    <row r="200" ht="15.75" customHeight="1">
      <c r="A200" s="39"/>
      <c r="B200" s="39"/>
    </row>
    <row r="201" ht="15.75" customHeight="1">
      <c r="A201" s="39"/>
      <c r="B201" s="39"/>
    </row>
    <row r="202" ht="15.75" customHeight="1">
      <c r="A202" s="39"/>
      <c r="B202" s="39"/>
    </row>
    <row r="203" ht="15.75" customHeight="1">
      <c r="A203" s="39"/>
      <c r="B203" s="39"/>
    </row>
    <row r="204" ht="15.75" customHeight="1">
      <c r="A204" s="39"/>
      <c r="B204" s="39"/>
    </row>
    <row r="205" ht="15.75" customHeight="1">
      <c r="A205" s="39"/>
      <c r="B205" s="39"/>
    </row>
    <row r="206" ht="15.75" customHeight="1">
      <c r="A206" s="39"/>
      <c r="B206" s="39"/>
    </row>
    <row r="207" ht="15.75" customHeight="1">
      <c r="A207" s="39"/>
      <c r="B207" s="39"/>
    </row>
    <row r="208" ht="15.75" customHeight="1">
      <c r="A208" s="39"/>
      <c r="B208" s="39"/>
    </row>
    <row r="209" ht="15.75" customHeight="1">
      <c r="A209" s="39"/>
      <c r="B209" s="39"/>
    </row>
    <row r="210" ht="15.75" customHeight="1">
      <c r="A210" s="39"/>
      <c r="B210" s="39"/>
    </row>
    <row r="211" ht="15.75" customHeight="1">
      <c r="A211" s="39"/>
      <c r="B211" s="39"/>
    </row>
    <row r="212" ht="15.75" customHeight="1">
      <c r="A212" s="39"/>
      <c r="B212" s="39"/>
    </row>
    <row r="213" ht="15.75" customHeight="1">
      <c r="A213" s="39"/>
      <c r="B213" s="39"/>
    </row>
    <row r="214" ht="15.75" customHeight="1">
      <c r="A214" s="39"/>
      <c r="B214" s="39"/>
    </row>
    <row r="215" ht="15.75" customHeight="1">
      <c r="A215" s="39"/>
      <c r="B215" s="39"/>
    </row>
    <row r="216" ht="15.75" customHeight="1">
      <c r="A216" s="39"/>
      <c r="B216" s="39"/>
    </row>
    <row r="217" ht="15.75" customHeight="1">
      <c r="A217" s="39"/>
      <c r="B217" s="39"/>
    </row>
    <row r="218" ht="15.75" customHeight="1">
      <c r="A218" s="39"/>
      <c r="B218" s="39"/>
    </row>
    <row r="219" ht="15.75" customHeight="1">
      <c r="A219" s="39"/>
      <c r="B219" s="39"/>
    </row>
    <row r="220" ht="15.75" customHeight="1">
      <c r="A220" s="39"/>
      <c r="B220" s="39"/>
    </row>
    <row r="221" ht="15.75" customHeight="1">
      <c r="A221" s="39"/>
      <c r="B221" s="39"/>
    </row>
    <row r="222" ht="15.75" customHeight="1">
      <c r="A222" s="39"/>
      <c r="B222" s="39"/>
    </row>
    <row r="223" ht="15.75" customHeight="1">
      <c r="A223" s="39"/>
      <c r="B223" s="39"/>
    </row>
    <row r="224" ht="15.75" customHeight="1">
      <c r="A224" s="39"/>
      <c r="B224" s="39"/>
    </row>
    <row r="225" ht="15.75" customHeight="1">
      <c r="A225" s="39"/>
      <c r="B225" s="39"/>
    </row>
    <row r="226" ht="15.75" customHeight="1">
      <c r="A226" s="39"/>
      <c r="B226" s="39"/>
    </row>
    <row r="227" ht="15.75" customHeight="1">
      <c r="A227" s="39"/>
      <c r="B227" s="39"/>
    </row>
    <row r="228" ht="15.75" customHeight="1">
      <c r="A228" s="39"/>
      <c r="B228" s="39"/>
    </row>
    <row r="229" ht="15.75" customHeight="1">
      <c r="A229" s="39"/>
      <c r="B229" s="39"/>
    </row>
    <row r="230" ht="15.75" customHeight="1">
      <c r="A230" s="39"/>
      <c r="B230" s="39"/>
    </row>
    <row r="231" ht="15.75" customHeight="1">
      <c r="A231" s="39"/>
      <c r="B231" s="39"/>
    </row>
    <row r="232" ht="15.75" customHeight="1">
      <c r="A232" s="39"/>
      <c r="B232" s="39"/>
    </row>
    <row r="233" ht="15.75" customHeight="1">
      <c r="A233" s="39"/>
      <c r="B233" s="39"/>
    </row>
    <row r="234" ht="15.75" customHeight="1">
      <c r="A234" s="39"/>
      <c r="B234" s="39"/>
    </row>
    <row r="235" ht="15.75" customHeight="1">
      <c r="A235" s="39"/>
      <c r="B235" s="39"/>
    </row>
    <row r="236" ht="15.75" customHeight="1">
      <c r="A236" s="39"/>
      <c r="B236" s="39"/>
    </row>
    <row r="237" ht="15.75" customHeight="1">
      <c r="A237" s="39"/>
      <c r="B237" s="39"/>
    </row>
    <row r="238" ht="15.75" customHeight="1">
      <c r="A238" s="39"/>
      <c r="B238" s="39"/>
    </row>
    <row r="239" ht="15.75" customHeight="1">
      <c r="A239" s="39"/>
      <c r="B239" s="39"/>
    </row>
    <row r="240" ht="15.75" customHeight="1">
      <c r="A240" s="39"/>
      <c r="B240" s="39"/>
    </row>
    <row r="241" ht="15.75" customHeight="1">
      <c r="A241" s="39"/>
      <c r="B241" s="39"/>
    </row>
    <row r="242" ht="15.75" customHeight="1">
      <c r="A242" s="39"/>
      <c r="B242" s="39"/>
    </row>
    <row r="243" ht="15.75" customHeight="1">
      <c r="A243" s="39"/>
      <c r="B243" s="39"/>
    </row>
    <row r="244" ht="15.75" customHeight="1">
      <c r="A244" s="39"/>
      <c r="B244" s="39"/>
    </row>
    <row r="245" ht="15.75" customHeight="1">
      <c r="A245" s="39"/>
      <c r="B245" s="39"/>
    </row>
    <row r="246" ht="15.75" customHeight="1">
      <c r="A246" s="39"/>
      <c r="B246" s="39"/>
    </row>
    <row r="247" ht="15.75" customHeight="1">
      <c r="A247" s="39"/>
      <c r="B247" s="39"/>
    </row>
    <row r="248" ht="15.75" customHeight="1">
      <c r="A248" s="39"/>
      <c r="B248" s="39"/>
    </row>
    <row r="249" ht="15.75" customHeight="1">
      <c r="A249" s="39"/>
      <c r="B249" s="39"/>
    </row>
    <row r="250" ht="15.75" customHeight="1">
      <c r="A250" s="39"/>
      <c r="B250" s="39"/>
    </row>
    <row r="251" ht="15.75" customHeight="1">
      <c r="A251" s="39"/>
      <c r="B251" s="39"/>
    </row>
    <row r="252" ht="15.75" customHeight="1">
      <c r="A252" s="39"/>
      <c r="B252" s="39"/>
    </row>
    <row r="253" ht="15.75" customHeight="1">
      <c r="A253" s="39"/>
      <c r="B253" s="39"/>
    </row>
    <row r="254" ht="15.75" customHeight="1">
      <c r="A254" s="39"/>
      <c r="B254" s="39"/>
    </row>
    <row r="255" ht="15.75" customHeight="1">
      <c r="A255" s="39"/>
      <c r="B255" s="39"/>
    </row>
    <row r="256" ht="15.75" customHeight="1">
      <c r="A256" s="39"/>
      <c r="B256" s="39"/>
    </row>
    <row r="257" ht="15.75" customHeight="1">
      <c r="A257" s="39"/>
      <c r="B257" s="39"/>
    </row>
    <row r="258" ht="15.75" customHeight="1">
      <c r="A258" s="39"/>
      <c r="B258" s="39"/>
    </row>
    <row r="259" ht="15.75" customHeight="1">
      <c r="A259" s="39"/>
      <c r="B259" s="39"/>
    </row>
    <row r="260" ht="15.75" customHeight="1">
      <c r="A260" s="39"/>
      <c r="B260" s="39"/>
    </row>
    <row r="261" ht="15.75" customHeight="1">
      <c r="A261" s="39"/>
      <c r="B261" s="39"/>
    </row>
    <row r="262" ht="15.75" customHeight="1">
      <c r="A262" s="39"/>
      <c r="B262" s="39"/>
    </row>
    <row r="263" ht="15.75" customHeight="1">
      <c r="A263" s="39"/>
      <c r="B263" s="39"/>
    </row>
    <row r="264" ht="15.75" customHeight="1">
      <c r="A264" s="39"/>
      <c r="B264" s="39"/>
    </row>
    <row r="265" ht="15.75" customHeight="1">
      <c r="A265" s="39"/>
      <c r="B265" s="39"/>
    </row>
    <row r="266" ht="15.75" customHeight="1">
      <c r="A266" s="39"/>
      <c r="B266" s="39"/>
    </row>
    <row r="267" ht="15.75" customHeight="1">
      <c r="A267" s="39"/>
      <c r="B267" s="39"/>
    </row>
    <row r="268" ht="15.75" customHeight="1">
      <c r="A268" s="39"/>
      <c r="B268" s="39"/>
    </row>
    <row r="269" ht="15.75" customHeight="1">
      <c r="A269" s="39"/>
      <c r="B269" s="39"/>
    </row>
    <row r="270" ht="15.75" customHeight="1">
      <c r="A270" s="39"/>
      <c r="B270" s="39"/>
    </row>
    <row r="271" ht="15.75" customHeight="1">
      <c r="A271" s="39"/>
      <c r="B271" s="39"/>
    </row>
    <row r="272" ht="15.75" customHeight="1">
      <c r="A272" s="39"/>
      <c r="B272" s="39"/>
    </row>
    <row r="273" ht="15.75" customHeight="1">
      <c r="A273" s="39"/>
      <c r="B273" s="39"/>
    </row>
    <row r="274" ht="15.75" customHeight="1">
      <c r="A274" s="39"/>
      <c r="B274" s="39"/>
    </row>
    <row r="275" ht="15.75" customHeight="1">
      <c r="A275" s="39"/>
      <c r="B275" s="39"/>
    </row>
    <row r="276" ht="15.75" customHeight="1">
      <c r="A276" s="39"/>
      <c r="B276" s="39"/>
    </row>
    <row r="277" ht="15.75" customHeight="1">
      <c r="A277" s="39"/>
      <c r="B277" s="39"/>
    </row>
    <row r="278" ht="15.75" customHeight="1">
      <c r="A278" s="39"/>
      <c r="B278" s="39"/>
    </row>
    <row r="279" ht="15.75" customHeight="1">
      <c r="A279" s="39"/>
      <c r="B279" s="39"/>
    </row>
    <row r="280" ht="15.75" customHeight="1">
      <c r="A280" s="39"/>
      <c r="B280" s="39"/>
    </row>
    <row r="281" ht="15.75" customHeight="1">
      <c r="A281" s="39"/>
      <c r="B281" s="39"/>
    </row>
    <row r="282" ht="15.75" customHeight="1">
      <c r="A282" s="39"/>
      <c r="B282" s="39"/>
    </row>
    <row r="283" ht="15.75" customHeight="1">
      <c r="A283" s="39"/>
      <c r="B283" s="39"/>
    </row>
    <row r="284" ht="15.75" customHeight="1">
      <c r="A284" s="39"/>
      <c r="B284" s="39"/>
    </row>
    <row r="285" ht="15.75" customHeight="1">
      <c r="A285" s="39"/>
      <c r="B285" s="39"/>
    </row>
    <row r="286" ht="15.75" customHeight="1">
      <c r="A286" s="39"/>
      <c r="B286" s="39"/>
    </row>
    <row r="287" ht="15.75" customHeight="1">
      <c r="A287" s="39"/>
      <c r="B287" s="39"/>
    </row>
    <row r="288" ht="15.75" customHeight="1">
      <c r="A288" s="39"/>
      <c r="B288" s="39"/>
    </row>
    <row r="289" ht="15.75" customHeight="1">
      <c r="A289" s="39"/>
      <c r="B289" s="39"/>
    </row>
    <row r="290" ht="15.75" customHeight="1">
      <c r="A290" s="39"/>
      <c r="B290" s="39"/>
    </row>
    <row r="291" ht="15.75" customHeight="1">
      <c r="A291" s="39"/>
      <c r="B291" s="39"/>
    </row>
    <row r="292" ht="15.75" customHeight="1">
      <c r="A292" s="39"/>
      <c r="B292" s="39"/>
    </row>
    <row r="293" ht="15.75" customHeight="1">
      <c r="A293" s="39"/>
      <c r="B293" s="39"/>
    </row>
    <row r="294" ht="15.75" customHeight="1">
      <c r="A294" s="39"/>
      <c r="B294" s="39"/>
    </row>
    <row r="295" ht="15.75" customHeight="1">
      <c r="A295" s="39"/>
      <c r="B295" s="39"/>
    </row>
    <row r="296" ht="15.75" customHeight="1">
      <c r="A296" s="39"/>
      <c r="B296" s="39"/>
    </row>
    <row r="297" ht="15.75" customHeight="1">
      <c r="A297" s="39"/>
      <c r="B297" s="39"/>
    </row>
    <row r="298" ht="15.75" customHeight="1">
      <c r="A298" s="39"/>
      <c r="B298" s="39"/>
    </row>
    <row r="299" ht="15.75" customHeight="1">
      <c r="A299" s="39"/>
      <c r="B299" s="39"/>
    </row>
    <row r="300" ht="15.75" customHeight="1">
      <c r="A300" s="39"/>
      <c r="B300" s="39"/>
    </row>
    <row r="301" ht="15.75" customHeight="1">
      <c r="A301" s="39"/>
      <c r="B301" s="39"/>
    </row>
    <row r="302" ht="15.75" customHeight="1">
      <c r="A302" s="39"/>
      <c r="B302" s="39"/>
    </row>
    <row r="303" ht="15.75" customHeight="1">
      <c r="A303" s="39"/>
      <c r="B303" s="39"/>
    </row>
    <row r="304" ht="15.75" customHeight="1">
      <c r="A304" s="39"/>
      <c r="B304" s="39"/>
    </row>
    <row r="305" ht="15.75" customHeight="1">
      <c r="A305" s="39"/>
      <c r="B305" s="39"/>
    </row>
    <row r="306" ht="15.75" customHeight="1">
      <c r="A306" s="39"/>
      <c r="B306" s="39"/>
    </row>
    <row r="307" ht="15.75" customHeight="1">
      <c r="A307" s="39"/>
      <c r="B307" s="39"/>
    </row>
    <row r="308" ht="15.75" customHeight="1">
      <c r="A308" s="39"/>
      <c r="B308" s="39"/>
    </row>
    <row r="309" ht="15.75" customHeight="1">
      <c r="A309" s="39"/>
      <c r="B309" s="39"/>
    </row>
    <row r="310" ht="15.75" customHeight="1">
      <c r="A310" s="39"/>
      <c r="B310" s="39"/>
    </row>
    <row r="311" ht="15.75" customHeight="1">
      <c r="A311" s="39"/>
      <c r="B311" s="39"/>
    </row>
    <row r="312" ht="15.75" customHeight="1">
      <c r="A312" s="39"/>
      <c r="B312" s="39"/>
    </row>
    <row r="313" ht="15.75" customHeight="1">
      <c r="A313" s="39"/>
      <c r="B313" s="39"/>
    </row>
    <row r="314" ht="15.75" customHeight="1">
      <c r="A314" s="39"/>
      <c r="B314" s="39"/>
    </row>
    <row r="315" ht="15.75" customHeight="1">
      <c r="A315" s="39"/>
      <c r="B315" s="39"/>
    </row>
    <row r="316" ht="15.75" customHeight="1">
      <c r="A316" s="39"/>
      <c r="B316" s="39"/>
    </row>
    <row r="317" ht="15.75" customHeight="1">
      <c r="A317" s="39"/>
      <c r="B317" s="39"/>
    </row>
    <row r="318" ht="15.75" customHeight="1">
      <c r="A318" s="39"/>
      <c r="B318" s="39"/>
    </row>
    <row r="319" ht="15.75" customHeight="1">
      <c r="A319" s="39"/>
      <c r="B319" s="39"/>
    </row>
    <row r="320" ht="15.75" customHeight="1">
      <c r="A320" s="39"/>
      <c r="B320" s="39"/>
    </row>
    <row r="321" ht="15.75" customHeight="1">
      <c r="A321" s="39"/>
      <c r="B321" s="39"/>
    </row>
    <row r="322" ht="15.75" customHeight="1">
      <c r="A322" s="39"/>
      <c r="B322" s="39"/>
    </row>
    <row r="323" ht="15.75" customHeight="1">
      <c r="A323" s="39"/>
      <c r="B323" s="39"/>
    </row>
    <row r="324" ht="15.75" customHeight="1">
      <c r="A324" s="39"/>
      <c r="B324" s="39"/>
    </row>
    <row r="325" ht="15.75" customHeight="1">
      <c r="A325" s="39"/>
      <c r="B325" s="39"/>
    </row>
    <row r="326" ht="15.75" customHeight="1">
      <c r="A326" s="39"/>
      <c r="B326" s="39"/>
    </row>
    <row r="327" ht="15.75" customHeight="1">
      <c r="A327" s="39"/>
      <c r="B327" s="39"/>
    </row>
    <row r="328" ht="15.75" customHeight="1">
      <c r="A328" s="39"/>
      <c r="B328" s="39"/>
    </row>
    <row r="329" ht="15.75" customHeight="1">
      <c r="A329" s="39"/>
      <c r="B329" s="39"/>
    </row>
    <row r="330" ht="15.75" customHeight="1">
      <c r="A330" s="39"/>
      <c r="B330" s="39"/>
    </row>
    <row r="331" ht="15.75" customHeight="1">
      <c r="A331" s="39"/>
      <c r="B331" s="39"/>
    </row>
    <row r="332" ht="15.75" customHeight="1">
      <c r="A332" s="39"/>
      <c r="B332" s="39"/>
    </row>
    <row r="333" ht="15.75" customHeight="1">
      <c r="A333" s="39"/>
      <c r="B333" s="39"/>
    </row>
    <row r="334" ht="15.75" customHeight="1">
      <c r="A334" s="39"/>
      <c r="B334" s="39"/>
    </row>
    <row r="335" ht="15.75" customHeight="1">
      <c r="A335" s="39"/>
      <c r="B335" s="39"/>
    </row>
    <row r="336" ht="15.75" customHeight="1">
      <c r="A336" s="39"/>
      <c r="B336" s="39"/>
    </row>
    <row r="337" ht="15.75" customHeight="1">
      <c r="A337" s="39"/>
      <c r="B337" s="39"/>
    </row>
    <row r="338" ht="15.75" customHeight="1">
      <c r="A338" s="39"/>
      <c r="B338" s="39"/>
    </row>
    <row r="339" ht="15.75" customHeight="1">
      <c r="A339" s="39"/>
      <c r="B339" s="39"/>
    </row>
    <row r="340" ht="15.75" customHeight="1">
      <c r="A340" s="39"/>
      <c r="B340" s="39"/>
    </row>
    <row r="341" ht="15.75" customHeight="1">
      <c r="A341" s="39"/>
      <c r="B341" s="39"/>
    </row>
    <row r="342" ht="15.75" customHeight="1">
      <c r="A342" s="39"/>
      <c r="B342" s="39"/>
    </row>
    <row r="343" ht="15.75" customHeight="1">
      <c r="A343" s="39"/>
      <c r="B343" s="39"/>
    </row>
    <row r="344" ht="15.75" customHeight="1">
      <c r="A344" s="39"/>
      <c r="B344" s="39"/>
    </row>
    <row r="345" ht="15.75" customHeight="1">
      <c r="A345" s="39"/>
      <c r="B345" s="39"/>
    </row>
    <row r="346" ht="15.75" customHeight="1">
      <c r="A346" s="39"/>
      <c r="B346" s="39"/>
    </row>
    <row r="347" ht="15.75" customHeight="1">
      <c r="A347" s="39"/>
      <c r="B347" s="39"/>
    </row>
    <row r="348" ht="15.75" customHeight="1">
      <c r="A348" s="39"/>
      <c r="B348" s="39"/>
    </row>
    <row r="349" ht="15.75" customHeight="1">
      <c r="A349" s="39"/>
      <c r="B349" s="39"/>
    </row>
    <row r="350" ht="15.75" customHeight="1">
      <c r="A350" s="39"/>
      <c r="B350" s="39"/>
    </row>
    <row r="351" ht="15.75" customHeight="1">
      <c r="A351" s="39"/>
      <c r="B351" s="39"/>
    </row>
    <row r="352" ht="15.75" customHeight="1">
      <c r="A352" s="39"/>
      <c r="B352" s="39"/>
    </row>
    <row r="353" ht="15.75" customHeight="1">
      <c r="A353" s="39"/>
      <c r="B353" s="39"/>
    </row>
    <row r="354" ht="15.75" customHeight="1">
      <c r="A354" s="39"/>
      <c r="B354" s="39"/>
    </row>
    <row r="355" ht="15.75" customHeight="1">
      <c r="A355" s="39"/>
      <c r="B355" s="39"/>
    </row>
    <row r="356" ht="15.75" customHeight="1">
      <c r="A356" s="39"/>
      <c r="B356" s="39"/>
    </row>
    <row r="357" ht="15.75" customHeight="1">
      <c r="A357" s="39"/>
      <c r="B357" s="39"/>
    </row>
    <row r="358" ht="15.75" customHeight="1">
      <c r="A358" s="39"/>
      <c r="B358" s="39"/>
    </row>
    <row r="359" ht="15.75" customHeight="1">
      <c r="A359" s="39"/>
      <c r="B359" s="39"/>
    </row>
    <row r="360" ht="15.75" customHeight="1">
      <c r="A360" s="39"/>
      <c r="B360" s="39"/>
    </row>
    <row r="361" ht="15.75" customHeight="1">
      <c r="A361" s="39"/>
      <c r="B361" s="39"/>
    </row>
    <row r="362" ht="15.75" customHeight="1">
      <c r="A362" s="39"/>
      <c r="B362" s="39"/>
    </row>
    <row r="363" ht="15.75" customHeight="1">
      <c r="A363" s="39"/>
      <c r="B363" s="39"/>
    </row>
    <row r="364" ht="15.75" customHeight="1">
      <c r="A364" s="39"/>
      <c r="B364" s="39"/>
    </row>
    <row r="365" ht="15.75" customHeight="1">
      <c r="A365" s="39"/>
      <c r="B365" s="39"/>
    </row>
    <row r="366" ht="15.75" customHeight="1">
      <c r="A366" s="39"/>
      <c r="B366" s="39"/>
    </row>
    <row r="367" ht="15.75" customHeight="1">
      <c r="A367" s="39"/>
      <c r="B367" s="39"/>
    </row>
    <row r="368" ht="15.75" customHeight="1">
      <c r="A368" s="39"/>
      <c r="B368" s="39"/>
    </row>
    <row r="369" ht="15.75" customHeight="1">
      <c r="A369" s="39"/>
      <c r="B369" s="39"/>
    </row>
    <row r="370" ht="15.75" customHeight="1">
      <c r="A370" s="39"/>
      <c r="B370" s="39"/>
    </row>
    <row r="371" ht="15.75" customHeight="1">
      <c r="A371" s="39"/>
      <c r="B371" s="39"/>
    </row>
    <row r="372" ht="15.75" customHeight="1">
      <c r="A372" s="39"/>
      <c r="B372" s="39"/>
    </row>
    <row r="373" ht="15.75" customHeight="1">
      <c r="A373" s="39"/>
      <c r="B373" s="39"/>
    </row>
    <row r="374" ht="15.75" customHeight="1">
      <c r="A374" s="39"/>
      <c r="B374" s="39"/>
    </row>
    <row r="375" ht="15.75" customHeight="1">
      <c r="A375" s="39"/>
      <c r="B375" s="39"/>
    </row>
    <row r="376" ht="15.75" customHeight="1">
      <c r="A376" s="39"/>
      <c r="B376" s="39"/>
    </row>
    <row r="377" ht="15.75" customHeight="1">
      <c r="A377" s="39"/>
      <c r="B377" s="39"/>
    </row>
    <row r="378" ht="15.75" customHeight="1">
      <c r="A378" s="39"/>
      <c r="B378" s="39"/>
    </row>
    <row r="379" ht="15.75" customHeight="1">
      <c r="A379" s="39"/>
      <c r="B379" s="39"/>
    </row>
    <row r="380" ht="15.75" customHeight="1">
      <c r="A380" s="39"/>
      <c r="B380" s="39"/>
    </row>
    <row r="381" ht="15.75" customHeight="1">
      <c r="A381" s="39"/>
      <c r="B381" s="39"/>
    </row>
    <row r="382" ht="15.75" customHeight="1">
      <c r="A382" s="39"/>
      <c r="B382" s="39"/>
    </row>
    <row r="383" ht="15.75" customHeight="1">
      <c r="A383" s="39"/>
      <c r="B383" s="39"/>
    </row>
    <row r="384" ht="15.75" customHeight="1">
      <c r="A384" s="39"/>
      <c r="B384" s="39"/>
    </row>
    <row r="385" ht="15.75" customHeight="1">
      <c r="A385" s="39"/>
      <c r="B385" s="39"/>
    </row>
    <row r="386" ht="15.75" customHeight="1">
      <c r="A386" s="39"/>
      <c r="B386" s="39"/>
    </row>
    <row r="387" ht="15.75" customHeight="1">
      <c r="A387" s="39"/>
      <c r="B387" s="39"/>
    </row>
    <row r="388" ht="15.75" customHeight="1">
      <c r="A388" s="39"/>
      <c r="B388" s="39"/>
    </row>
    <row r="389" ht="15.75" customHeight="1">
      <c r="A389" s="39"/>
      <c r="B389" s="39"/>
    </row>
    <row r="390" ht="15.75" customHeight="1">
      <c r="A390" s="39"/>
      <c r="B390" s="39"/>
    </row>
    <row r="391" ht="15.75" customHeight="1">
      <c r="A391" s="39"/>
      <c r="B391" s="39"/>
    </row>
    <row r="392" ht="15.75" customHeight="1">
      <c r="A392" s="39"/>
      <c r="B392" s="39"/>
    </row>
    <row r="393" ht="15.75" customHeight="1">
      <c r="A393" s="39"/>
      <c r="B393" s="39"/>
    </row>
    <row r="394" ht="15.75" customHeight="1">
      <c r="A394" s="39"/>
      <c r="B394" s="39"/>
    </row>
    <row r="395" ht="15.75" customHeight="1">
      <c r="A395" s="39"/>
      <c r="B395" s="39"/>
    </row>
    <row r="396" ht="15.75" customHeight="1">
      <c r="A396" s="39"/>
      <c r="B396" s="39"/>
    </row>
    <row r="397" ht="15.75" customHeight="1">
      <c r="A397" s="39"/>
      <c r="B397" s="39"/>
    </row>
    <row r="398" ht="15.75" customHeight="1">
      <c r="A398" s="39"/>
      <c r="B398" s="39"/>
    </row>
    <row r="399" ht="15.75" customHeight="1">
      <c r="A399" s="39"/>
      <c r="B399" s="39"/>
    </row>
    <row r="400" ht="15.75" customHeight="1">
      <c r="A400" s="39"/>
      <c r="B400" s="39"/>
    </row>
    <row r="401" ht="15.75" customHeight="1">
      <c r="A401" s="39"/>
      <c r="B401" s="39"/>
    </row>
    <row r="402" ht="15.75" customHeight="1">
      <c r="A402" s="39"/>
      <c r="B402" s="39"/>
    </row>
    <row r="403" ht="15.75" customHeight="1">
      <c r="A403" s="39"/>
      <c r="B403" s="39"/>
    </row>
    <row r="404" ht="15.75" customHeight="1">
      <c r="A404" s="39"/>
      <c r="B404" s="39"/>
    </row>
    <row r="405" ht="15.75" customHeight="1">
      <c r="A405" s="39"/>
      <c r="B405" s="39"/>
    </row>
    <row r="406" ht="15.75" customHeight="1">
      <c r="A406" s="39"/>
      <c r="B406" s="39"/>
    </row>
    <row r="407" ht="15.75" customHeight="1">
      <c r="A407" s="39"/>
      <c r="B407" s="39"/>
    </row>
    <row r="408" ht="15.75" customHeight="1">
      <c r="A408" s="39"/>
      <c r="B408" s="39"/>
    </row>
    <row r="409" ht="15.75" customHeight="1">
      <c r="A409" s="39"/>
      <c r="B409" s="39"/>
    </row>
    <row r="410" ht="15.75" customHeight="1">
      <c r="A410" s="39"/>
      <c r="B410" s="39"/>
    </row>
    <row r="411" ht="15.75" customHeight="1">
      <c r="A411" s="39"/>
      <c r="B411" s="39"/>
    </row>
    <row r="412" ht="15.75" customHeight="1">
      <c r="A412" s="39"/>
      <c r="B412" s="39"/>
    </row>
    <row r="413" ht="15.75" customHeight="1">
      <c r="A413" s="39"/>
      <c r="B413" s="39"/>
    </row>
    <row r="414" ht="15.75" customHeight="1">
      <c r="A414" s="39"/>
      <c r="B414" s="39"/>
    </row>
    <row r="415" ht="15.75" customHeight="1">
      <c r="A415" s="39"/>
      <c r="B415" s="39"/>
    </row>
    <row r="416" ht="15.75" customHeight="1">
      <c r="A416" s="39"/>
      <c r="B416" s="39"/>
    </row>
    <row r="417" ht="15.75" customHeight="1">
      <c r="A417" s="39"/>
      <c r="B417" s="39"/>
    </row>
    <row r="418" ht="15.75" customHeight="1">
      <c r="A418" s="39"/>
      <c r="B418" s="39"/>
    </row>
    <row r="419" ht="15.75" customHeight="1">
      <c r="A419" s="39"/>
      <c r="B419" s="39"/>
    </row>
    <row r="420" ht="15.75" customHeight="1">
      <c r="A420" s="39"/>
      <c r="B420" s="39"/>
    </row>
    <row r="421" ht="15.75" customHeight="1">
      <c r="A421" s="39"/>
      <c r="B421" s="39"/>
    </row>
    <row r="422" ht="15.75" customHeight="1">
      <c r="A422" s="39"/>
      <c r="B422" s="39"/>
    </row>
    <row r="423" ht="15.75" customHeight="1">
      <c r="A423" s="39"/>
      <c r="B423" s="39"/>
    </row>
    <row r="424" ht="15.75" customHeight="1">
      <c r="A424" s="39"/>
      <c r="B424" s="39"/>
    </row>
    <row r="425" ht="15.75" customHeight="1">
      <c r="A425" s="39"/>
      <c r="B425" s="39"/>
    </row>
    <row r="426" ht="15.75" customHeight="1">
      <c r="A426" s="39"/>
      <c r="B426" s="39"/>
    </row>
    <row r="427" ht="15.75" customHeight="1">
      <c r="A427" s="39"/>
      <c r="B427" s="39"/>
    </row>
    <row r="428" ht="15.75" customHeight="1">
      <c r="A428" s="39"/>
      <c r="B428" s="39"/>
    </row>
    <row r="429" ht="15.75" customHeight="1">
      <c r="A429" s="39"/>
      <c r="B429" s="39"/>
    </row>
    <row r="430" ht="15.75" customHeight="1">
      <c r="A430" s="39"/>
      <c r="B430" s="39"/>
    </row>
    <row r="431" ht="15.75" customHeight="1">
      <c r="A431" s="39"/>
      <c r="B431" s="39"/>
    </row>
    <row r="432" ht="15.75" customHeight="1">
      <c r="A432" s="39"/>
      <c r="B432" s="39"/>
    </row>
    <row r="433" ht="15.75" customHeight="1">
      <c r="A433" s="39"/>
      <c r="B433" s="39"/>
    </row>
    <row r="434" ht="15.75" customHeight="1">
      <c r="A434" s="39"/>
      <c r="B434" s="39"/>
    </row>
    <row r="435" ht="15.75" customHeight="1">
      <c r="A435" s="39"/>
      <c r="B435" s="39"/>
    </row>
    <row r="436" ht="15.75" customHeight="1">
      <c r="A436" s="39"/>
      <c r="B436" s="39"/>
    </row>
    <row r="437" ht="15.75" customHeight="1">
      <c r="A437" s="39"/>
      <c r="B437" s="39"/>
    </row>
    <row r="438" ht="15.75" customHeight="1">
      <c r="A438" s="39"/>
      <c r="B438" s="39"/>
    </row>
    <row r="439" ht="15.75" customHeight="1">
      <c r="A439" s="39"/>
      <c r="B439" s="39"/>
    </row>
    <row r="440" ht="15.75" customHeight="1">
      <c r="A440" s="39"/>
      <c r="B440" s="39"/>
    </row>
    <row r="441" ht="15.75" customHeight="1">
      <c r="A441" s="39"/>
      <c r="B441" s="39"/>
    </row>
    <row r="442" ht="15.75" customHeight="1">
      <c r="A442" s="39"/>
      <c r="B442" s="39"/>
    </row>
    <row r="443" ht="15.75" customHeight="1">
      <c r="A443" s="39"/>
      <c r="B443" s="39"/>
    </row>
    <row r="444" ht="15.75" customHeight="1">
      <c r="A444" s="39"/>
      <c r="B444" s="39"/>
    </row>
    <row r="445" ht="15.75" customHeight="1">
      <c r="A445" s="39"/>
      <c r="B445" s="39"/>
    </row>
    <row r="446" ht="15.75" customHeight="1">
      <c r="A446" s="39"/>
      <c r="B446" s="39"/>
    </row>
    <row r="447" ht="15.75" customHeight="1">
      <c r="A447" s="39"/>
      <c r="B447" s="39"/>
    </row>
    <row r="448" ht="15.75" customHeight="1">
      <c r="A448" s="39"/>
      <c r="B448" s="39"/>
    </row>
    <row r="449" ht="15.75" customHeight="1">
      <c r="A449" s="39"/>
      <c r="B449" s="39"/>
    </row>
    <row r="450" ht="15.75" customHeight="1">
      <c r="A450" s="39"/>
      <c r="B450" s="39"/>
    </row>
    <row r="451" ht="15.75" customHeight="1">
      <c r="A451" s="39"/>
      <c r="B451" s="39"/>
    </row>
    <row r="452" ht="15.75" customHeight="1">
      <c r="A452" s="39"/>
      <c r="B452" s="39"/>
    </row>
    <row r="453" ht="15.75" customHeight="1">
      <c r="A453" s="39"/>
      <c r="B453" s="39"/>
    </row>
    <row r="454" ht="15.75" customHeight="1">
      <c r="A454" s="39"/>
      <c r="B454" s="39"/>
    </row>
    <row r="455" ht="15.75" customHeight="1">
      <c r="A455" s="39"/>
      <c r="B455" s="39"/>
    </row>
    <row r="456" ht="15.75" customHeight="1">
      <c r="A456" s="39"/>
      <c r="B456" s="39"/>
    </row>
    <row r="457" ht="15.75" customHeight="1">
      <c r="A457" s="39"/>
      <c r="B457" s="39"/>
    </row>
    <row r="458" ht="15.75" customHeight="1">
      <c r="A458" s="39"/>
      <c r="B458" s="39"/>
    </row>
    <row r="459" ht="15.75" customHeight="1">
      <c r="A459" s="39"/>
      <c r="B459" s="39"/>
    </row>
    <row r="460" ht="15.75" customHeight="1">
      <c r="A460" s="39"/>
      <c r="B460" s="39"/>
    </row>
    <row r="461" ht="15.75" customHeight="1">
      <c r="A461" s="39"/>
      <c r="B461" s="39"/>
    </row>
    <row r="462" ht="15.75" customHeight="1">
      <c r="A462" s="39"/>
      <c r="B462" s="39"/>
    </row>
    <row r="463" ht="15.75" customHeight="1">
      <c r="A463" s="39"/>
      <c r="B463" s="39"/>
    </row>
    <row r="464" ht="15.75" customHeight="1">
      <c r="A464" s="39"/>
      <c r="B464" s="39"/>
    </row>
    <row r="465" ht="15.75" customHeight="1">
      <c r="A465" s="39"/>
      <c r="B465" s="39"/>
    </row>
    <row r="466" ht="15.75" customHeight="1">
      <c r="A466" s="39"/>
      <c r="B466" s="39"/>
    </row>
    <row r="467" ht="15.75" customHeight="1">
      <c r="A467" s="39"/>
      <c r="B467" s="39"/>
    </row>
    <row r="468" ht="15.75" customHeight="1">
      <c r="A468" s="39"/>
      <c r="B468" s="39"/>
    </row>
    <row r="469" ht="15.75" customHeight="1">
      <c r="A469" s="39"/>
      <c r="B469" s="39"/>
    </row>
    <row r="470" ht="15.75" customHeight="1">
      <c r="A470" s="39"/>
      <c r="B470" s="39"/>
    </row>
    <row r="471" ht="15.75" customHeight="1">
      <c r="A471" s="39"/>
      <c r="B471" s="39"/>
    </row>
    <row r="472" ht="15.75" customHeight="1">
      <c r="A472" s="39"/>
      <c r="B472" s="39"/>
    </row>
    <row r="473" ht="15.75" customHeight="1">
      <c r="A473" s="39"/>
      <c r="B473" s="39"/>
    </row>
    <row r="474" ht="15.75" customHeight="1">
      <c r="A474" s="39"/>
      <c r="B474" s="39"/>
    </row>
    <row r="475" ht="15.75" customHeight="1">
      <c r="A475" s="39"/>
      <c r="B475" s="39"/>
    </row>
    <row r="476" ht="15.75" customHeight="1">
      <c r="A476" s="39"/>
      <c r="B476" s="39"/>
    </row>
    <row r="477" ht="15.75" customHeight="1">
      <c r="A477" s="39"/>
      <c r="B477" s="39"/>
    </row>
    <row r="478" ht="15.75" customHeight="1">
      <c r="A478" s="39"/>
      <c r="B478" s="39"/>
    </row>
    <row r="479" ht="15.75" customHeight="1">
      <c r="A479" s="39"/>
      <c r="B479" s="39"/>
    </row>
    <row r="480" ht="15.75" customHeight="1">
      <c r="A480" s="39"/>
      <c r="B480" s="39"/>
    </row>
    <row r="481" ht="15.75" customHeight="1">
      <c r="A481" s="39"/>
      <c r="B481" s="39"/>
    </row>
    <row r="482" ht="15.75" customHeight="1">
      <c r="A482" s="39"/>
      <c r="B482" s="39"/>
    </row>
    <row r="483" ht="15.75" customHeight="1">
      <c r="A483" s="39"/>
      <c r="B483" s="39"/>
    </row>
    <row r="484" ht="15.75" customHeight="1">
      <c r="A484" s="39"/>
      <c r="B484" s="39"/>
    </row>
    <row r="485" ht="15.75" customHeight="1">
      <c r="A485" s="39"/>
      <c r="B485" s="39"/>
    </row>
    <row r="486" ht="15.75" customHeight="1">
      <c r="A486" s="39"/>
      <c r="B486" s="39"/>
    </row>
    <row r="487" ht="15.75" customHeight="1">
      <c r="A487" s="39"/>
      <c r="B487" s="39"/>
    </row>
    <row r="488" ht="15.75" customHeight="1">
      <c r="A488" s="39"/>
      <c r="B488" s="39"/>
    </row>
    <row r="489" ht="15.75" customHeight="1">
      <c r="A489" s="39"/>
      <c r="B489" s="39"/>
    </row>
    <row r="490" ht="15.75" customHeight="1">
      <c r="A490" s="39"/>
      <c r="B490" s="39"/>
    </row>
    <row r="491" ht="15.75" customHeight="1">
      <c r="A491" s="39"/>
      <c r="B491" s="39"/>
    </row>
    <row r="492" ht="15.75" customHeight="1">
      <c r="A492" s="39"/>
      <c r="B492" s="39"/>
    </row>
    <row r="493" ht="15.75" customHeight="1">
      <c r="A493" s="39"/>
      <c r="B493" s="39"/>
    </row>
    <row r="494" ht="15.75" customHeight="1">
      <c r="A494" s="39"/>
      <c r="B494" s="39"/>
    </row>
    <row r="495" ht="15.75" customHeight="1">
      <c r="A495" s="39"/>
      <c r="B495" s="39"/>
    </row>
    <row r="496" ht="15.75" customHeight="1">
      <c r="A496" s="39"/>
      <c r="B496" s="39"/>
    </row>
    <row r="497" ht="15.75" customHeight="1">
      <c r="A497" s="39"/>
      <c r="B497" s="39"/>
    </row>
    <row r="498" ht="15.75" customHeight="1">
      <c r="A498" s="39"/>
      <c r="B498" s="39"/>
    </row>
    <row r="499" ht="15.75" customHeight="1">
      <c r="A499" s="39"/>
      <c r="B499" s="39"/>
    </row>
    <row r="500" ht="15.75" customHeight="1">
      <c r="A500" s="39"/>
      <c r="B500" s="39"/>
    </row>
    <row r="501" ht="15.75" customHeight="1">
      <c r="A501" s="39"/>
      <c r="B501" s="39"/>
    </row>
    <row r="502" ht="15.75" customHeight="1">
      <c r="A502" s="39"/>
      <c r="B502" s="39"/>
    </row>
    <row r="503" ht="15.75" customHeight="1">
      <c r="A503" s="39"/>
      <c r="B503" s="39"/>
    </row>
    <row r="504" ht="15.75" customHeight="1">
      <c r="A504" s="39"/>
      <c r="B504" s="39"/>
    </row>
    <row r="505" ht="15.75" customHeight="1">
      <c r="A505" s="39"/>
      <c r="B505" s="39"/>
    </row>
    <row r="506" ht="15.75" customHeight="1">
      <c r="A506" s="39"/>
      <c r="B506" s="39"/>
    </row>
    <row r="507" ht="15.75" customHeight="1">
      <c r="A507" s="39"/>
      <c r="B507" s="39"/>
    </row>
    <row r="508" ht="15.75" customHeight="1">
      <c r="A508" s="39"/>
      <c r="B508" s="39"/>
    </row>
    <row r="509" ht="15.75" customHeight="1">
      <c r="A509" s="39"/>
      <c r="B509" s="39"/>
    </row>
    <row r="510" ht="15.75" customHeight="1">
      <c r="A510" s="39"/>
      <c r="B510" s="39"/>
    </row>
    <row r="511" ht="15.75" customHeight="1">
      <c r="A511" s="39"/>
      <c r="B511" s="39"/>
    </row>
    <row r="512" ht="15.75" customHeight="1">
      <c r="A512" s="39"/>
      <c r="B512" s="39"/>
    </row>
    <row r="513" ht="15.75" customHeight="1">
      <c r="A513" s="39"/>
      <c r="B513" s="39"/>
    </row>
    <row r="514" ht="15.75" customHeight="1">
      <c r="A514" s="39"/>
      <c r="B514" s="39"/>
    </row>
    <row r="515" ht="15.75" customHeight="1">
      <c r="A515" s="39"/>
      <c r="B515" s="39"/>
    </row>
    <row r="516" ht="15.75" customHeight="1">
      <c r="A516" s="39"/>
      <c r="B516" s="39"/>
    </row>
    <row r="517" ht="15.75" customHeight="1">
      <c r="A517" s="39"/>
      <c r="B517" s="39"/>
    </row>
    <row r="518" ht="15.75" customHeight="1">
      <c r="A518" s="39"/>
      <c r="B518" s="39"/>
    </row>
    <row r="519" ht="15.75" customHeight="1">
      <c r="A519" s="39"/>
      <c r="B519" s="39"/>
    </row>
    <row r="520" ht="15.75" customHeight="1">
      <c r="A520" s="39"/>
      <c r="B520" s="39"/>
    </row>
    <row r="521" ht="15.75" customHeight="1">
      <c r="A521" s="39"/>
      <c r="B521" s="39"/>
    </row>
    <row r="522" ht="15.75" customHeight="1">
      <c r="A522" s="39"/>
      <c r="B522" s="39"/>
    </row>
    <row r="523" ht="15.75" customHeight="1">
      <c r="A523" s="39"/>
      <c r="B523" s="39"/>
    </row>
    <row r="524" ht="15.75" customHeight="1">
      <c r="A524" s="39"/>
      <c r="B524" s="39"/>
    </row>
    <row r="525" ht="15.75" customHeight="1">
      <c r="A525" s="39"/>
      <c r="B525" s="39"/>
    </row>
    <row r="526" ht="15.75" customHeight="1">
      <c r="A526" s="39"/>
      <c r="B526" s="39"/>
    </row>
    <row r="527" ht="15.75" customHeight="1">
      <c r="A527" s="39"/>
      <c r="B527" s="39"/>
    </row>
    <row r="528" ht="15.75" customHeight="1">
      <c r="A528" s="39"/>
      <c r="B528" s="39"/>
    </row>
    <row r="529" ht="15.75" customHeight="1">
      <c r="A529" s="39"/>
      <c r="B529" s="39"/>
    </row>
    <row r="530" ht="15.75" customHeight="1">
      <c r="A530" s="39"/>
      <c r="B530" s="39"/>
    </row>
    <row r="531" ht="15.75" customHeight="1">
      <c r="A531" s="39"/>
      <c r="B531" s="39"/>
    </row>
    <row r="532" ht="15.75" customHeight="1">
      <c r="A532" s="39"/>
      <c r="B532" s="39"/>
    </row>
    <row r="533" ht="15.75" customHeight="1">
      <c r="A533" s="39"/>
      <c r="B533" s="39"/>
    </row>
    <row r="534" ht="15.75" customHeight="1">
      <c r="A534" s="39"/>
      <c r="B534" s="39"/>
    </row>
    <row r="535" ht="15.75" customHeight="1">
      <c r="A535" s="39"/>
      <c r="B535" s="39"/>
    </row>
    <row r="536" ht="15.75" customHeight="1">
      <c r="A536" s="39"/>
      <c r="B536" s="39"/>
    </row>
    <row r="537" ht="15.75" customHeight="1">
      <c r="A537" s="39"/>
      <c r="B537" s="39"/>
    </row>
    <row r="538" ht="15.75" customHeight="1">
      <c r="A538" s="39"/>
      <c r="B538" s="39"/>
    </row>
    <row r="539" ht="15.75" customHeight="1">
      <c r="A539" s="39"/>
      <c r="B539" s="39"/>
    </row>
    <row r="540" ht="15.75" customHeight="1">
      <c r="A540" s="39"/>
      <c r="B540" s="39"/>
    </row>
    <row r="541" ht="15.75" customHeight="1">
      <c r="A541" s="39"/>
      <c r="B541" s="39"/>
    </row>
    <row r="542" ht="15.75" customHeight="1">
      <c r="A542" s="39"/>
      <c r="B542" s="39"/>
    </row>
    <row r="543" ht="15.75" customHeight="1">
      <c r="A543" s="39"/>
      <c r="B543" s="39"/>
    </row>
    <row r="544" ht="15.75" customHeight="1">
      <c r="A544" s="39"/>
      <c r="B544" s="39"/>
    </row>
    <row r="545" ht="15.75" customHeight="1">
      <c r="A545" s="39"/>
      <c r="B545" s="39"/>
    </row>
    <row r="546" ht="15.75" customHeight="1">
      <c r="A546" s="39"/>
      <c r="B546" s="39"/>
    </row>
    <row r="547" ht="15.75" customHeight="1">
      <c r="A547" s="39"/>
      <c r="B547" s="39"/>
    </row>
    <row r="548" ht="15.75" customHeight="1">
      <c r="A548" s="39"/>
      <c r="B548" s="39"/>
    </row>
    <row r="549" ht="15.75" customHeight="1">
      <c r="A549" s="39"/>
      <c r="B549" s="39"/>
    </row>
    <row r="550" ht="15.75" customHeight="1">
      <c r="A550" s="39"/>
      <c r="B550" s="39"/>
    </row>
    <row r="551" ht="15.75" customHeight="1">
      <c r="A551" s="39"/>
      <c r="B551" s="39"/>
    </row>
    <row r="552" ht="15.75" customHeight="1">
      <c r="A552" s="39"/>
      <c r="B552" s="39"/>
    </row>
    <row r="553" ht="15.75" customHeight="1">
      <c r="A553" s="39"/>
      <c r="B553" s="39"/>
    </row>
    <row r="554" ht="15.75" customHeight="1">
      <c r="A554" s="39"/>
      <c r="B554" s="39"/>
    </row>
    <row r="555" ht="15.75" customHeight="1">
      <c r="A555" s="39"/>
      <c r="B555" s="39"/>
    </row>
    <row r="556" ht="15.75" customHeight="1">
      <c r="A556" s="39"/>
      <c r="B556" s="39"/>
    </row>
    <row r="557" ht="15.75" customHeight="1">
      <c r="A557" s="39"/>
      <c r="B557" s="39"/>
    </row>
    <row r="558" ht="15.75" customHeight="1">
      <c r="A558" s="39"/>
      <c r="B558" s="39"/>
    </row>
    <row r="559" ht="15.75" customHeight="1">
      <c r="A559" s="39"/>
      <c r="B559" s="39"/>
    </row>
    <row r="560" ht="15.75" customHeight="1">
      <c r="A560" s="39"/>
      <c r="B560" s="39"/>
    </row>
    <row r="561" ht="15.75" customHeight="1">
      <c r="A561" s="39"/>
      <c r="B561" s="39"/>
    </row>
    <row r="562" ht="15.75" customHeight="1">
      <c r="A562" s="39"/>
      <c r="B562" s="39"/>
    </row>
    <row r="563" ht="15.75" customHeight="1">
      <c r="A563" s="39"/>
      <c r="B563" s="39"/>
    </row>
    <row r="564" ht="15.75" customHeight="1">
      <c r="A564" s="39"/>
      <c r="B564" s="39"/>
    </row>
    <row r="565" ht="15.75" customHeight="1">
      <c r="A565" s="39"/>
      <c r="B565" s="39"/>
    </row>
    <row r="566" ht="15.75" customHeight="1">
      <c r="A566" s="39"/>
      <c r="B566" s="39"/>
    </row>
    <row r="567" ht="15.75" customHeight="1">
      <c r="A567" s="39"/>
      <c r="B567" s="39"/>
    </row>
    <row r="568" ht="15.75" customHeight="1">
      <c r="A568" s="39"/>
      <c r="B568" s="39"/>
    </row>
    <row r="569" ht="15.75" customHeight="1">
      <c r="A569" s="39"/>
      <c r="B569" s="39"/>
    </row>
    <row r="570" ht="15.75" customHeight="1">
      <c r="A570" s="39"/>
      <c r="B570" s="39"/>
    </row>
    <row r="571" ht="15.75" customHeight="1">
      <c r="A571" s="39"/>
      <c r="B571" s="39"/>
    </row>
    <row r="572" ht="15.75" customHeight="1">
      <c r="A572" s="39"/>
      <c r="B572" s="39"/>
    </row>
    <row r="573" ht="15.75" customHeight="1">
      <c r="A573" s="39"/>
      <c r="B573" s="39"/>
    </row>
    <row r="574" ht="15.75" customHeight="1">
      <c r="A574" s="39"/>
      <c r="B574" s="39"/>
    </row>
    <row r="575" ht="15.75" customHeight="1">
      <c r="A575" s="39"/>
      <c r="B575" s="39"/>
    </row>
    <row r="576" ht="15.75" customHeight="1">
      <c r="A576" s="39"/>
      <c r="B576" s="39"/>
    </row>
    <row r="577" ht="15.75" customHeight="1">
      <c r="A577" s="39"/>
      <c r="B577" s="39"/>
    </row>
    <row r="578" ht="15.75" customHeight="1">
      <c r="A578" s="39"/>
      <c r="B578" s="39"/>
    </row>
    <row r="579" ht="15.75" customHeight="1">
      <c r="A579" s="39"/>
      <c r="B579" s="39"/>
    </row>
    <row r="580" ht="15.75" customHeight="1">
      <c r="A580" s="39"/>
      <c r="B580" s="39"/>
    </row>
    <row r="581" ht="15.75" customHeight="1">
      <c r="A581" s="39"/>
      <c r="B581" s="39"/>
    </row>
    <row r="582" ht="15.75" customHeight="1">
      <c r="A582" s="39"/>
      <c r="B582" s="39"/>
    </row>
    <row r="583" ht="15.75" customHeight="1">
      <c r="A583" s="39"/>
      <c r="B583" s="39"/>
    </row>
    <row r="584" ht="15.75" customHeight="1">
      <c r="A584" s="39"/>
      <c r="B584" s="39"/>
    </row>
    <row r="585" ht="15.75" customHeight="1">
      <c r="A585" s="39"/>
      <c r="B585" s="39"/>
    </row>
    <row r="586" ht="15.75" customHeight="1">
      <c r="A586" s="39"/>
      <c r="B586" s="39"/>
    </row>
    <row r="587" ht="15.75" customHeight="1">
      <c r="A587" s="39"/>
      <c r="B587" s="39"/>
    </row>
    <row r="588" ht="15.75" customHeight="1">
      <c r="A588" s="39"/>
      <c r="B588" s="39"/>
    </row>
    <row r="589" ht="15.75" customHeight="1">
      <c r="A589" s="39"/>
      <c r="B589" s="39"/>
    </row>
    <row r="590" ht="15.75" customHeight="1">
      <c r="A590" s="39"/>
      <c r="B590" s="39"/>
    </row>
    <row r="591" ht="15.75" customHeight="1">
      <c r="A591" s="39"/>
      <c r="B591" s="39"/>
    </row>
    <row r="592" ht="15.75" customHeight="1">
      <c r="A592" s="39"/>
      <c r="B592" s="39"/>
    </row>
    <row r="593" ht="15.75" customHeight="1">
      <c r="A593" s="39"/>
      <c r="B593" s="39"/>
    </row>
    <row r="594" ht="15.75" customHeight="1">
      <c r="A594" s="39"/>
      <c r="B594" s="39"/>
    </row>
    <row r="595" ht="15.75" customHeight="1">
      <c r="A595" s="39"/>
      <c r="B595" s="39"/>
    </row>
    <row r="596" ht="15.75" customHeight="1">
      <c r="A596" s="39"/>
      <c r="B596" s="39"/>
    </row>
    <row r="597" ht="15.75" customHeight="1">
      <c r="A597" s="39"/>
      <c r="B597" s="39"/>
    </row>
    <row r="598" ht="15.75" customHeight="1">
      <c r="A598" s="39"/>
      <c r="B598" s="39"/>
    </row>
    <row r="599" ht="15.75" customHeight="1">
      <c r="A599" s="39"/>
      <c r="B599" s="39"/>
    </row>
    <row r="600" ht="15.75" customHeight="1">
      <c r="A600" s="39"/>
      <c r="B600" s="39"/>
    </row>
    <row r="601" ht="15.75" customHeight="1">
      <c r="A601" s="39"/>
      <c r="B601" s="39"/>
    </row>
    <row r="602" ht="15.75" customHeight="1">
      <c r="A602" s="39"/>
      <c r="B602" s="39"/>
    </row>
    <row r="603" ht="15.75" customHeight="1">
      <c r="A603" s="39"/>
      <c r="B603" s="39"/>
    </row>
    <row r="604" ht="15.75" customHeight="1">
      <c r="A604" s="39"/>
      <c r="B604" s="39"/>
    </row>
    <row r="605" ht="15.75" customHeight="1">
      <c r="A605" s="39"/>
      <c r="B605" s="39"/>
    </row>
    <row r="606" ht="15.75" customHeight="1">
      <c r="A606" s="39"/>
      <c r="B606" s="39"/>
    </row>
    <row r="607" ht="15.75" customHeight="1">
      <c r="A607" s="39"/>
      <c r="B607" s="39"/>
    </row>
    <row r="608" ht="15.75" customHeight="1">
      <c r="A608" s="39"/>
      <c r="B608" s="39"/>
    </row>
    <row r="609" ht="15.75" customHeight="1">
      <c r="A609" s="39"/>
      <c r="B609" s="39"/>
    </row>
    <row r="610" ht="15.75" customHeight="1">
      <c r="A610" s="39"/>
      <c r="B610" s="39"/>
    </row>
    <row r="611" ht="15.75" customHeight="1">
      <c r="A611" s="39"/>
      <c r="B611" s="39"/>
    </row>
    <row r="612" ht="15.75" customHeight="1">
      <c r="A612" s="39"/>
      <c r="B612" s="39"/>
    </row>
    <row r="613" ht="15.75" customHeight="1">
      <c r="A613" s="39"/>
      <c r="B613" s="39"/>
    </row>
    <row r="614" ht="15.75" customHeight="1">
      <c r="A614" s="39"/>
      <c r="B614" s="39"/>
    </row>
    <row r="615" ht="15.75" customHeight="1">
      <c r="A615" s="39"/>
      <c r="B615" s="39"/>
    </row>
    <row r="616" ht="15.75" customHeight="1">
      <c r="A616" s="39"/>
      <c r="B616" s="39"/>
    </row>
    <row r="617" ht="15.75" customHeight="1">
      <c r="A617" s="39"/>
      <c r="B617" s="39"/>
    </row>
    <row r="618" ht="15.75" customHeight="1">
      <c r="A618" s="39"/>
      <c r="B618" s="39"/>
    </row>
    <row r="619" ht="15.75" customHeight="1">
      <c r="A619" s="39"/>
      <c r="B619" s="39"/>
    </row>
    <row r="620" ht="15.75" customHeight="1">
      <c r="A620" s="39"/>
      <c r="B620" s="39"/>
    </row>
    <row r="621" ht="15.75" customHeight="1">
      <c r="A621" s="39"/>
      <c r="B621" s="39"/>
    </row>
    <row r="622" ht="15.75" customHeight="1">
      <c r="A622" s="39"/>
      <c r="B622" s="39"/>
    </row>
    <row r="623" ht="15.75" customHeight="1">
      <c r="A623" s="39"/>
      <c r="B623" s="39"/>
    </row>
    <row r="624" ht="15.75" customHeight="1">
      <c r="A624" s="39"/>
      <c r="B624" s="39"/>
    </row>
    <row r="625" ht="15.75" customHeight="1">
      <c r="A625" s="39"/>
      <c r="B625" s="39"/>
    </row>
    <row r="626" ht="15.75" customHeight="1">
      <c r="A626" s="39"/>
      <c r="B626" s="39"/>
    </row>
    <row r="627" ht="15.75" customHeight="1">
      <c r="A627" s="39"/>
      <c r="B627" s="39"/>
    </row>
    <row r="628" ht="15.75" customHeight="1">
      <c r="A628" s="39"/>
      <c r="B628" s="39"/>
    </row>
    <row r="629" ht="15.75" customHeight="1">
      <c r="A629" s="39"/>
      <c r="B629" s="39"/>
    </row>
    <row r="630" ht="15.75" customHeight="1">
      <c r="A630" s="39"/>
      <c r="B630" s="39"/>
    </row>
    <row r="631" ht="15.75" customHeight="1">
      <c r="A631" s="39"/>
      <c r="B631" s="39"/>
    </row>
    <row r="632" ht="15.75" customHeight="1">
      <c r="A632" s="39"/>
      <c r="B632" s="39"/>
    </row>
    <row r="633" ht="15.75" customHeight="1">
      <c r="A633" s="39"/>
      <c r="B633" s="39"/>
    </row>
    <row r="634" ht="15.75" customHeight="1">
      <c r="A634" s="39"/>
      <c r="B634" s="39"/>
    </row>
    <row r="635" ht="15.75" customHeight="1">
      <c r="A635" s="39"/>
      <c r="B635" s="39"/>
    </row>
    <row r="636" ht="15.75" customHeight="1">
      <c r="A636" s="39"/>
      <c r="B636" s="39"/>
    </row>
    <row r="637" ht="15.75" customHeight="1">
      <c r="A637" s="39"/>
      <c r="B637" s="39"/>
    </row>
    <row r="638" ht="15.75" customHeight="1">
      <c r="A638" s="39"/>
      <c r="B638" s="39"/>
    </row>
    <row r="639" ht="15.75" customHeight="1">
      <c r="A639" s="39"/>
      <c r="B639" s="39"/>
    </row>
    <row r="640" ht="15.75" customHeight="1">
      <c r="A640" s="39"/>
      <c r="B640" s="39"/>
    </row>
    <row r="641" ht="15.75" customHeight="1">
      <c r="A641" s="39"/>
      <c r="B641" s="39"/>
    </row>
    <row r="642" ht="15.75" customHeight="1">
      <c r="A642" s="39"/>
      <c r="B642" s="39"/>
    </row>
    <row r="643" ht="15.75" customHeight="1">
      <c r="A643" s="39"/>
      <c r="B643" s="39"/>
    </row>
    <row r="644" ht="15.75" customHeight="1">
      <c r="A644" s="39"/>
      <c r="B644" s="39"/>
    </row>
    <row r="645" ht="15.75" customHeight="1">
      <c r="A645" s="39"/>
      <c r="B645" s="39"/>
    </row>
    <row r="646" ht="15.75" customHeight="1">
      <c r="A646" s="39"/>
      <c r="B646" s="39"/>
    </row>
    <row r="647" ht="15.75" customHeight="1">
      <c r="A647" s="39"/>
      <c r="B647" s="39"/>
    </row>
    <row r="648" ht="15.75" customHeight="1">
      <c r="A648" s="39"/>
      <c r="B648" s="39"/>
    </row>
    <row r="649" ht="15.75" customHeight="1">
      <c r="A649" s="39"/>
      <c r="B649" s="39"/>
    </row>
    <row r="650" ht="15.75" customHeight="1">
      <c r="A650" s="39"/>
      <c r="B650" s="39"/>
    </row>
    <row r="651" ht="15.75" customHeight="1">
      <c r="A651" s="39"/>
      <c r="B651" s="39"/>
    </row>
    <row r="652" ht="15.75" customHeight="1">
      <c r="A652" s="39"/>
      <c r="B652" s="39"/>
    </row>
    <row r="653" ht="15.75" customHeight="1">
      <c r="A653" s="39"/>
      <c r="B653" s="39"/>
    </row>
    <row r="654" ht="15.75" customHeight="1">
      <c r="A654" s="39"/>
      <c r="B654" s="39"/>
    </row>
    <row r="655" ht="15.75" customHeight="1">
      <c r="A655" s="39"/>
      <c r="B655" s="39"/>
    </row>
    <row r="656" ht="15.75" customHeight="1">
      <c r="A656" s="39"/>
      <c r="B656" s="39"/>
    </row>
    <row r="657" ht="15.75" customHeight="1">
      <c r="A657" s="39"/>
      <c r="B657" s="39"/>
    </row>
    <row r="658" ht="15.75" customHeight="1">
      <c r="A658" s="39"/>
      <c r="B658" s="39"/>
    </row>
    <row r="659" ht="15.75" customHeight="1">
      <c r="A659" s="39"/>
      <c r="B659" s="39"/>
    </row>
    <row r="660" ht="15.75" customHeight="1">
      <c r="A660" s="39"/>
      <c r="B660" s="39"/>
    </row>
    <row r="661" ht="15.75" customHeight="1">
      <c r="A661" s="39"/>
      <c r="B661" s="39"/>
    </row>
    <row r="662" ht="15.75" customHeight="1">
      <c r="A662" s="39"/>
      <c r="B662" s="39"/>
    </row>
    <row r="663" ht="15.75" customHeight="1">
      <c r="A663" s="39"/>
      <c r="B663" s="39"/>
    </row>
    <row r="664" ht="15.75" customHeight="1">
      <c r="A664" s="39"/>
      <c r="B664" s="39"/>
    </row>
    <row r="665" ht="15.75" customHeight="1">
      <c r="A665" s="39"/>
      <c r="B665" s="39"/>
    </row>
    <row r="666" ht="15.75" customHeight="1">
      <c r="A666" s="39"/>
      <c r="B666" s="39"/>
    </row>
    <row r="667" ht="15.75" customHeight="1">
      <c r="A667" s="39"/>
      <c r="B667" s="39"/>
    </row>
    <row r="668" ht="15.75" customHeight="1">
      <c r="A668" s="39"/>
      <c r="B668" s="39"/>
    </row>
    <row r="669" ht="15.75" customHeight="1">
      <c r="A669" s="39"/>
      <c r="B669" s="39"/>
    </row>
    <row r="670" ht="15.75" customHeight="1">
      <c r="A670" s="39"/>
      <c r="B670" s="39"/>
    </row>
    <row r="671" ht="15.75" customHeight="1">
      <c r="A671" s="39"/>
      <c r="B671" s="39"/>
    </row>
    <row r="672" ht="15.75" customHeight="1">
      <c r="A672" s="39"/>
      <c r="B672" s="39"/>
    </row>
    <row r="673" ht="15.75" customHeight="1">
      <c r="A673" s="39"/>
      <c r="B673" s="39"/>
    </row>
    <row r="674" ht="15.75" customHeight="1">
      <c r="A674" s="39"/>
      <c r="B674" s="39"/>
    </row>
    <row r="675" ht="15.75" customHeight="1">
      <c r="A675" s="39"/>
      <c r="B675" s="39"/>
    </row>
    <row r="676" ht="15.75" customHeight="1">
      <c r="A676" s="39"/>
      <c r="B676" s="39"/>
    </row>
    <row r="677" ht="15.75" customHeight="1">
      <c r="A677" s="39"/>
      <c r="B677" s="39"/>
    </row>
    <row r="678" ht="15.75" customHeight="1">
      <c r="A678" s="39"/>
      <c r="B678" s="39"/>
    </row>
    <row r="679" ht="15.75" customHeight="1">
      <c r="A679" s="39"/>
      <c r="B679" s="39"/>
    </row>
    <row r="680" ht="15.75" customHeight="1">
      <c r="A680" s="39"/>
      <c r="B680" s="39"/>
    </row>
    <row r="681" ht="15.75" customHeight="1">
      <c r="A681" s="39"/>
      <c r="B681" s="39"/>
    </row>
    <row r="682" ht="15.75" customHeight="1">
      <c r="A682" s="39"/>
      <c r="B682" s="39"/>
    </row>
    <row r="683" ht="15.75" customHeight="1">
      <c r="A683" s="39"/>
      <c r="B683" s="39"/>
    </row>
    <row r="684" ht="15.75" customHeight="1">
      <c r="A684" s="39"/>
      <c r="B684" s="39"/>
    </row>
    <row r="685" ht="15.75" customHeight="1">
      <c r="A685" s="39"/>
      <c r="B685" s="39"/>
    </row>
    <row r="686" ht="15.75" customHeight="1">
      <c r="A686" s="39"/>
      <c r="B686" s="39"/>
    </row>
    <row r="687" ht="15.75" customHeight="1">
      <c r="A687" s="39"/>
      <c r="B687" s="39"/>
    </row>
    <row r="688" ht="15.75" customHeight="1">
      <c r="A688" s="39"/>
      <c r="B688" s="39"/>
    </row>
    <row r="689" ht="15.75" customHeight="1">
      <c r="A689" s="39"/>
      <c r="B689" s="39"/>
    </row>
    <row r="690" ht="15.75" customHeight="1">
      <c r="A690" s="39"/>
      <c r="B690" s="39"/>
    </row>
    <row r="691" ht="15.75" customHeight="1">
      <c r="A691" s="39"/>
      <c r="B691" s="39"/>
    </row>
    <row r="692" ht="15.75" customHeight="1">
      <c r="A692" s="39"/>
      <c r="B692" s="39"/>
    </row>
    <row r="693" ht="15.75" customHeight="1">
      <c r="A693" s="39"/>
      <c r="B693" s="39"/>
    </row>
    <row r="694" ht="15.75" customHeight="1">
      <c r="A694" s="39"/>
      <c r="B694" s="39"/>
    </row>
    <row r="695" ht="15.75" customHeight="1">
      <c r="A695" s="39"/>
      <c r="B695" s="39"/>
    </row>
    <row r="696" ht="15.75" customHeight="1">
      <c r="A696" s="39"/>
      <c r="B696" s="39"/>
    </row>
    <row r="697" ht="15.75" customHeight="1">
      <c r="A697" s="39"/>
      <c r="B697" s="39"/>
    </row>
    <row r="698" ht="15.75" customHeight="1">
      <c r="A698" s="39"/>
      <c r="B698" s="39"/>
    </row>
    <row r="699" ht="15.75" customHeight="1">
      <c r="A699" s="39"/>
      <c r="B699" s="39"/>
    </row>
    <row r="700" ht="15.75" customHeight="1">
      <c r="A700" s="39"/>
      <c r="B700" s="39"/>
    </row>
    <row r="701" ht="15.75" customHeight="1">
      <c r="A701" s="39"/>
      <c r="B701" s="39"/>
    </row>
    <row r="702" ht="15.75" customHeight="1">
      <c r="A702" s="39"/>
      <c r="B702" s="39"/>
    </row>
    <row r="703" ht="15.75" customHeight="1">
      <c r="A703" s="39"/>
      <c r="B703" s="39"/>
    </row>
    <row r="704" ht="15.75" customHeight="1">
      <c r="A704" s="39"/>
      <c r="B704" s="39"/>
    </row>
    <row r="705" ht="15.75" customHeight="1">
      <c r="A705" s="39"/>
      <c r="B705" s="39"/>
    </row>
    <row r="706" ht="15.75" customHeight="1">
      <c r="A706" s="39"/>
      <c r="B706" s="39"/>
    </row>
    <row r="707" ht="15.75" customHeight="1">
      <c r="A707" s="39"/>
      <c r="B707" s="39"/>
    </row>
    <row r="708" ht="15.75" customHeight="1">
      <c r="A708" s="39"/>
      <c r="B708" s="39"/>
    </row>
    <row r="709" ht="15.75" customHeight="1">
      <c r="A709" s="39"/>
      <c r="B709" s="39"/>
    </row>
    <row r="710" ht="15.75" customHeight="1">
      <c r="A710" s="39"/>
      <c r="B710" s="39"/>
    </row>
    <row r="711" ht="15.75" customHeight="1">
      <c r="A711" s="39"/>
      <c r="B711" s="39"/>
    </row>
    <row r="712" ht="15.75" customHeight="1">
      <c r="A712" s="39"/>
      <c r="B712" s="39"/>
    </row>
    <row r="713" ht="15.75" customHeight="1">
      <c r="A713" s="39"/>
      <c r="B713" s="39"/>
    </row>
    <row r="714" ht="15.75" customHeight="1">
      <c r="A714" s="39"/>
      <c r="B714" s="39"/>
    </row>
    <row r="715" ht="15.75" customHeight="1">
      <c r="A715" s="39"/>
      <c r="B715" s="39"/>
    </row>
    <row r="716" ht="15.75" customHeight="1">
      <c r="A716" s="39"/>
      <c r="B716" s="39"/>
    </row>
    <row r="717" ht="15.75" customHeight="1">
      <c r="A717" s="39"/>
      <c r="B717" s="39"/>
    </row>
    <row r="718" ht="15.75" customHeight="1">
      <c r="A718" s="39"/>
      <c r="B718" s="39"/>
    </row>
    <row r="719" ht="15.75" customHeight="1">
      <c r="A719" s="39"/>
      <c r="B719" s="39"/>
    </row>
    <row r="720" ht="15.75" customHeight="1">
      <c r="A720" s="39"/>
      <c r="B720" s="39"/>
    </row>
    <row r="721" ht="15.75" customHeight="1">
      <c r="A721" s="39"/>
      <c r="B721" s="39"/>
    </row>
    <row r="722" ht="15.75" customHeight="1">
      <c r="A722" s="39"/>
      <c r="B722" s="39"/>
    </row>
    <row r="723" ht="15.75" customHeight="1">
      <c r="A723" s="39"/>
      <c r="B723" s="39"/>
    </row>
    <row r="724" ht="15.75" customHeight="1">
      <c r="A724" s="39"/>
      <c r="B724" s="39"/>
    </row>
    <row r="725" ht="15.75" customHeight="1">
      <c r="A725" s="39"/>
      <c r="B725" s="39"/>
    </row>
    <row r="726" ht="15.75" customHeight="1">
      <c r="A726" s="39"/>
      <c r="B726" s="39"/>
    </row>
    <row r="727" ht="15.75" customHeight="1">
      <c r="A727" s="39"/>
      <c r="B727" s="39"/>
    </row>
    <row r="728" ht="15.75" customHeight="1">
      <c r="A728" s="39"/>
      <c r="B728" s="39"/>
    </row>
    <row r="729" ht="15.75" customHeight="1">
      <c r="A729" s="39"/>
      <c r="B729" s="39"/>
    </row>
    <row r="730" ht="15.75" customHeight="1">
      <c r="A730" s="39"/>
      <c r="B730" s="39"/>
    </row>
    <row r="731" ht="15.75" customHeight="1">
      <c r="A731" s="39"/>
      <c r="B731" s="39"/>
    </row>
    <row r="732" ht="15.75" customHeight="1">
      <c r="A732" s="39"/>
      <c r="B732" s="39"/>
    </row>
    <row r="733" ht="15.75" customHeight="1">
      <c r="A733" s="39"/>
      <c r="B733" s="39"/>
    </row>
    <row r="734" ht="15.75" customHeight="1">
      <c r="A734" s="39"/>
      <c r="B734" s="39"/>
    </row>
    <row r="735" ht="15.75" customHeight="1">
      <c r="A735" s="39"/>
      <c r="B735" s="39"/>
    </row>
    <row r="736" ht="15.75" customHeight="1">
      <c r="A736" s="39"/>
      <c r="B736" s="39"/>
    </row>
    <row r="737" ht="15.75" customHeight="1">
      <c r="A737" s="39"/>
      <c r="B737" s="39"/>
    </row>
    <row r="738" ht="15.75" customHeight="1">
      <c r="A738" s="39"/>
      <c r="B738" s="39"/>
    </row>
    <row r="739" ht="15.75" customHeight="1">
      <c r="A739" s="39"/>
      <c r="B739" s="39"/>
    </row>
    <row r="740" ht="15.75" customHeight="1">
      <c r="A740" s="39"/>
      <c r="B740" s="39"/>
    </row>
    <row r="741" ht="15.75" customHeight="1">
      <c r="A741" s="39"/>
      <c r="B741" s="39"/>
    </row>
    <row r="742" ht="15.75" customHeight="1">
      <c r="A742" s="39"/>
      <c r="B742" s="39"/>
    </row>
    <row r="743" ht="15.75" customHeight="1">
      <c r="A743" s="39"/>
      <c r="B743" s="39"/>
    </row>
    <row r="744" ht="15.75" customHeight="1">
      <c r="A744" s="39"/>
      <c r="B744" s="39"/>
    </row>
    <row r="745" ht="15.75" customHeight="1">
      <c r="A745" s="39"/>
      <c r="B745" s="39"/>
    </row>
    <row r="746" ht="15.75" customHeight="1">
      <c r="A746" s="39"/>
      <c r="B746" s="39"/>
    </row>
    <row r="747" ht="15.75" customHeight="1">
      <c r="A747" s="39"/>
      <c r="B747" s="39"/>
    </row>
    <row r="748" ht="15.75" customHeight="1">
      <c r="A748" s="39"/>
      <c r="B748" s="39"/>
    </row>
    <row r="749" ht="15.75" customHeight="1">
      <c r="A749" s="39"/>
      <c r="B749" s="39"/>
    </row>
    <row r="750" ht="15.75" customHeight="1">
      <c r="A750" s="39"/>
      <c r="B750" s="39"/>
    </row>
    <row r="751" ht="15.75" customHeight="1">
      <c r="A751" s="39"/>
      <c r="B751" s="39"/>
    </row>
    <row r="752" ht="15.75" customHeight="1">
      <c r="A752" s="39"/>
      <c r="B752" s="39"/>
    </row>
    <row r="753" ht="15.75" customHeight="1">
      <c r="A753" s="39"/>
      <c r="B753" s="39"/>
    </row>
    <row r="754" ht="15.75" customHeight="1">
      <c r="A754" s="39"/>
      <c r="B754" s="39"/>
    </row>
    <row r="755" ht="15.75" customHeight="1">
      <c r="A755" s="39"/>
      <c r="B755" s="39"/>
    </row>
    <row r="756" ht="15.75" customHeight="1">
      <c r="A756" s="39"/>
      <c r="B756" s="39"/>
    </row>
    <row r="757" ht="15.75" customHeight="1">
      <c r="A757" s="39"/>
      <c r="B757" s="39"/>
    </row>
    <row r="758" ht="15.75" customHeight="1">
      <c r="A758" s="39"/>
      <c r="B758" s="39"/>
    </row>
    <row r="759" ht="15.75" customHeight="1">
      <c r="A759" s="39"/>
      <c r="B759" s="39"/>
    </row>
    <row r="760" ht="15.75" customHeight="1">
      <c r="A760" s="39"/>
      <c r="B760" s="39"/>
    </row>
    <row r="761" ht="15.75" customHeight="1">
      <c r="A761" s="39"/>
      <c r="B761" s="39"/>
    </row>
    <row r="762" ht="15.75" customHeight="1">
      <c r="A762" s="39"/>
      <c r="B762" s="39"/>
    </row>
    <row r="763" ht="15.75" customHeight="1">
      <c r="A763" s="39"/>
      <c r="B763" s="39"/>
    </row>
    <row r="764" ht="15.75" customHeight="1">
      <c r="A764" s="39"/>
      <c r="B764" s="39"/>
    </row>
    <row r="765" ht="15.75" customHeight="1">
      <c r="A765" s="39"/>
      <c r="B765" s="39"/>
    </row>
    <row r="766" ht="15.75" customHeight="1">
      <c r="A766" s="39"/>
      <c r="B766" s="39"/>
    </row>
    <row r="767" ht="15.75" customHeight="1">
      <c r="A767" s="39"/>
      <c r="B767" s="39"/>
    </row>
    <row r="768" ht="15.75" customHeight="1">
      <c r="A768" s="39"/>
      <c r="B768" s="39"/>
    </row>
    <row r="769" ht="15.75" customHeight="1">
      <c r="A769" s="39"/>
      <c r="B769" s="39"/>
    </row>
    <row r="770" ht="15.75" customHeight="1">
      <c r="A770" s="39"/>
      <c r="B770" s="39"/>
    </row>
    <row r="771" ht="15.75" customHeight="1">
      <c r="A771" s="39"/>
      <c r="B771" s="39"/>
    </row>
    <row r="772" ht="15.75" customHeight="1">
      <c r="A772" s="39"/>
      <c r="B772" s="39"/>
    </row>
    <row r="773" ht="15.75" customHeight="1">
      <c r="A773" s="39"/>
      <c r="B773" s="39"/>
    </row>
    <row r="774" ht="15.75" customHeight="1">
      <c r="A774" s="39"/>
      <c r="B774" s="39"/>
    </row>
    <row r="775" ht="15.75" customHeight="1">
      <c r="A775" s="39"/>
      <c r="B775" s="39"/>
    </row>
    <row r="776" ht="15.75" customHeight="1">
      <c r="A776" s="39"/>
      <c r="B776" s="39"/>
    </row>
    <row r="777" ht="15.75" customHeight="1">
      <c r="A777" s="39"/>
      <c r="B777" s="39"/>
    </row>
    <row r="778" ht="15.75" customHeight="1">
      <c r="A778" s="39"/>
      <c r="B778" s="39"/>
    </row>
    <row r="779" ht="15.75" customHeight="1">
      <c r="A779" s="39"/>
      <c r="B779" s="39"/>
    </row>
    <row r="780" ht="15.75" customHeight="1">
      <c r="A780" s="39"/>
      <c r="B780" s="39"/>
    </row>
    <row r="781" ht="15.75" customHeight="1">
      <c r="A781" s="39"/>
      <c r="B781" s="39"/>
    </row>
    <row r="782" ht="15.75" customHeight="1">
      <c r="A782" s="39"/>
      <c r="B782" s="39"/>
    </row>
    <row r="783" ht="15.75" customHeight="1">
      <c r="A783" s="39"/>
      <c r="B783" s="39"/>
    </row>
    <row r="784" ht="15.75" customHeight="1">
      <c r="A784" s="39"/>
      <c r="B784" s="39"/>
    </row>
    <row r="785" ht="15.75" customHeight="1">
      <c r="A785" s="39"/>
      <c r="B785" s="39"/>
    </row>
    <row r="786" ht="15.75" customHeight="1">
      <c r="A786" s="39"/>
      <c r="B786" s="39"/>
    </row>
    <row r="787" ht="15.75" customHeight="1">
      <c r="A787" s="39"/>
      <c r="B787" s="39"/>
    </row>
    <row r="788" ht="15.75" customHeight="1">
      <c r="A788" s="39"/>
      <c r="B788" s="39"/>
    </row>
    <row r="789" ht="15.75" customHeight="1">
      <c r="A789" s="39"/>
      <c r="B789" s="39"/>
    </row>
    <row r="790" ht="15.75" customHeight="1">
      <c r="A790" s="39"/>
      <c r="B790" s="39"/>
    </row>
    <row r="791" ht="15.75" customHeight="1">
      <c r="A791" s="39"/>
      <c r="B791" s="39"/>
    </row>
    <row r="792" ht="15.75" customHeight="1">
      <c r="A792" s="39"/>
      <c r="B792" s="39"/>
    </row>
    <row r="793" ht="15.75" customHeight="1">
      <c r="A793" s="39"/>
      <c r="B793" s="39"/>
    </row>
    <row r="794" ht="15.75" customHeight="1">
      <c r="A794" s="39"/>
      <c r="B794" s="39"/>
    </row>
    <row r="795" ht="15.75" customHeight="1">
      <c r="A795" s="39"/>
      <c r="B795" s="39"/>
    </row>
    <row r="796" ht="15.75" customHeight="1">
      <c r="A796" s="39"/>
      <c r="B796" s="39"/>
    </row>
    <row r="797" ht="15.75" customHeight="1">
      <c r="A797" s="39"/>
      <c r="B797" s="39"/>
    </row>
    <row r="798" ht="15.75" customHeight="1">
      <c r="A798" s="39"/>
      <c r="B798" s="39"/>
    </row>
    <row r="799" ht="15.75" customHeight="1">
      <c r="A799" s="39"/>
      <c r="B799" s="39"/>
    </row>
    <row r="800" ht="15.75" customHeight="1">
      <c r="A800" s="39"/>
      <c r="B800" s="39"/>
    </row>
    <row r="801" ht="15.75" customHeight="1">
      <c r="A801" s="39"/>
      <c r="B801" s="39"/>
    </row>
    <row r="802" ht="15.75" customHeight="1">
      <c r="A802" s="39"/>
      <c r="B802" s="39"/>
    </row>
    <row r="803" ht="15.75" customHeight="1">
      <c r="A803" s="39"/>
      <c r="B803" s="39"/>
    </row>
    <row r="804" ht="15.75" customHeight="1">
      <c r="A804" s="39"/>
      <c r="B804" s="39"/>
    </row>
    <row r="805" ht="15.75" customHeight="1">
      <c r="A805" s="39"/>
      <c r="B805" s="39"/>
    </row>
    <row r="806" ht="15.75" customHeight="1">
      <c r="A806" s="39"/>
      <c r="B806" s="39"/>
    </row>
    <row r="807" ht="15.75" customHeight="1">
      <c r="A807" s="39"/>
      <c r="B807" s="39"/>
    </row>
    <row r="808" ht="15.75" customHeight="1">
      <c r="A808" s="39"/>
      <c r="B808" s="39"/>
    </row>
    <row r="809" ht="15.75" customHeight="1">
      <c r="A809" s="39"/>
      <c r="B809" s="39"/>
    </row>
    <row r="810" ht="15.75" customHeight="1">
      <c r="A810" s="39"/>
      <c r="B810" s="39"/>
    </row>
    <row r="811" ht="15.75" customHeight="1">
      <c r="A811" s="39"/>
      <c r="B811" s="39"/>
    </row>
    <row r="812" ht="15.75" customHeight="1">
      <c r="A812" s="39"/>
      <c r="B812" s="39"/>
    </row>
    <row r="813" ht="15.75" customHeight="1">
      <c r="A813" s="39"/>
      <c r="B813" s="39"/>
    </row>
    <row r="814" ht="15.75" customHeight="1">
      <c r="A814" s="39"/>
      <c r="B814" s="39"/>
    </row>
    <row r="815" ht="15.75" customHeight="1">
      <c r="A815" s="39"/>
      <c r="B815" s="39"/>
    </row>
    <row r="816" ht="15.75" customHeight="1">
      <c r="A816" s="39"/>
      <c r="B816" s="39"/>
    </row>
    <row r="817" ht="15.75" customHeight="1">
      <c r="A817" s="39"/>
      <c r="B817" s="39"/>
    </row>
    <row r="818" ht="15.75" customHeight="1">
      <c r="A818" s="39"/>
      <c r="B818" s="39"/>
    </row>
    <row r="819" ht="15.75" customHeight="1">
      <c r="A819" s="39"/>
      <c r="B819" s="39"/>
    </row>
    <row r="820" ht="15.75" customHeight="1">
      <c r="A820" s="39"/>
      <c r="B820" s="39"/>
    </row>
    <row r="821" ht="15.75" customHeight="1">
      <c r="A821" s="39"/>
      <c r="B821" s="39"/>
    </row>
    <row r="822" ht="15.75" customHeight="1">
      <c r="A822" s="39"/>
      <c r="B822" s="39"/>
    </row>
    <row r="823" ht="15.75" customHeight="1">
      <c r="A823" s="39"/>
      <c r="B823" s="39"/>
    </row>
    <row r="824" ht="15.75" customHeight="1">
      <c r="A824" s="39"/>
      <c r="B824" s="39"/>
    </row>
    <row r="825" ht="15.75" customHeight="1">
      <c r="A825" s="39"/>
      <c r="B825" s="39"/>
    </row>
    <row r="826" ht="15.75" customHeight="1">
      <c r="A826" s="39"/>
      <c r="B826" s="39"/>
    </row>
    <row r="827" ht="15.75" customHeight="1">
      <c r="A827" s="39"/>
      <c r="B827" s="39"/>
    </row>
    <row r="828" ht="15.75" customHeight="1">
      <c r="A828" s="39"/>
      <c r="B828" s="39"/>
    </row>
    <row r="829" ht="15.75" customHeight="1">
      <c r="A829" s="39"/>
      <c r="B829" s="39"/>
    </row>
    <row r="830" ht="15.75" customHeight="1">
      <c r="A830" s="39"/>
      <c r="B830" s="39"/>
    </row>
    <row r="831" ht="15.75" customHeight="1">
      <c r="A831" s="39"/>
      <c r="B831" s="39"/>
    </row>
    <row r="832" ht="15.75" customHeight="1">
      <c r="A832" s="39"/>
      <c r="B832" s="39"/>
    </row>
    <row r="833" ht="15.75" customHeight="1">
      <c r="A833" s="39"/>
      <c r="B833" s="39"/>
    </row>
    <row r="834" ht="15.75" customHeight="1">
      <c r="A834" s="39"/>
      <c r="B834" s="39"/>
    </row>
    <row r="835" ht="15.75" customHeight="1">
      <c r="A835" s="39"/>
      <c r="B835" s="39"/>
    </row>
    <row r="836" ht="15.75" customHeight="1">
      <c r="A836" s="39"/>
      <c r="B836" s="39"/>
    </row>
    <row r="837" ht="15.75" customHeight="1">
      <c r="A837" s="39"/>
      <c r="B837" s="39"/>
    </row>
    <row r="838" ht="15.75" customHeight="1">
      <c r="A838" s="39"/>
      <c r="B838" s="39"/>
    </row>
    <row r="839" ht="15.75" customHeight="1">
      <c r="A839" s="39"/>
      <c r="B839" s="39"/>
    </row>
    <row r="840" ht="15.75" customHeight="1">
      <c r="A840" s="39"/>
      <c r="B840" s="39"/>
    </row>
    <row r="841" ht="15.75" customHeight="1">
      <c r="A841" s="39"/>
      <c r="B841" s="39"/>
    </row>
    <row r="842" ht="15.75" customHeight="1">
      <c r="A842" s="39"/>
      <c r="B842" s="39"/>
    </row>
    <row r="843" ht="15.75" customHeight="1">
      <c r="A843" s="39"/>
      <c r="B843" s="39"/>
    </row>
    <row r="844" ht="15.75" customHeight="1">
      <c r="A844" s="39"/>
      <c r="B844" s="39"/>
    </row>
    <row r="845" ht="15.75" customHeight="1">
      <c r="A845" s="39"/>
      <c r="B845" s="39"/>
    </row>
    <row r="846" ht="15.75" customHeight="1">
      <c r="A846" s="39"/>
      <c r="B846" s="39"/>
    </row>
    <row r="847" ht="15.75" customHeight="1">
      <c r="A847" s="39"/>
      <c r="B847" s="39"/>
    </row>
    <row r="848" ht="15.75" customHeight="1">
      <c r="A848" s="39"/>
      <c r="B848" s="39"/>
    </row>
    <row r="849" ht="15.75" customHeight="1">
      <c r="A849" s="39"/>
      <c r="B849" s="39"/>
    </row>
    <row r="850" ht="15.75" customHeight="1">
      <c r="A850" s="39"/>
      <c r="B850" s="39"/>
    </row>
    <row r="851" ht="15.75" customHeight="1">
      <c r="A851" s="39"/>
      <c r="B851" s="39"/>
    </row>
    <row r="852" ht="15.75" customHeight="1">
      <c r="A852" s="39"/>
      <c r="B852" s="39"/>
    </row>
    <row r="853" ht="15.75" customHeight="1">
      <c r="A853" s="39"/>
      <c r="B853" s="39"/>
    </row>
    <row r="854" ht="15.75" customHeight="1">
      <c r="A854" s="39"/>
      <c r="B854" s="39"/>
    </row>
    <row r="855" ht="15.75" customHeight="1">
      <c r="A855" s="39"/>
      <c r="B855" s="39"/>
    </row>
    <row r="856" ht="15.75" customHeight="1">
      <c r="A856" s="39"/>
      <c r="B856" s="39"/>
    </row>
    <row r="857" ht="15.75" customHeight="1">
      <c r="A857" s="39"/>
      <c r="B857" s="39"/>
    </row>
    <row r="858" ht="15.75" customHeight="1">
      <c r="A858" s="39"/>
      <c r="B858" s="39"/>
    </row>
    <row r="859" ht="15.75" customHeight="1">
      <c r="A859" s="39"/>
      <c r="B859" s="39"/>
    </row>
    <row r="860" ht="15.75" customHeight="1">
      <c r="A860" s="39"/>
      <c r="B860" s="39"/>
    </row>
    <row r="861" ht="15.75" customHeight="1">
      <c r="A861" s="39"/>
      <c r="B861" s="39"/>
    </row>
    <row r="862" ht="15.75" customHeight="1">
      <c r="A862" s="39"/>
      <c r="B862" s="39"/>
    </row>
    <row r="863" ht="15.75" customHeight="1">
      <c r="A863" s="39"/>
      <c r="B863" s="39"/>
    </row>
    <row r="864" ht="15.75" customHeight="1">
      <c r="A864" s="39"/>
      <c r="B864" s="39"/>
    </row>
    <row r="865" ht="15.75" customHeight="1">
      <c r="A865" s="39"/>
      <c r="B865" s="39"/>
    </row>
    <row r="866" ht="15.75" customHeight="1">
      <c r="A866" s="39"/>
      <c r="B866" s="39"/>
    </row>
    <row r="867" ht="15.75" customHeight="1">
      <c r="A867" s="39"/>
      <c r="B867" s="39"/>
    </row>
    <row r="868" ht="15.75" customHeight="1">
      <c r="A868" s="39"/>
      <c r="B868" s="39"/>
    </row>
    <row r="869" ht="15.75" customHeight="1">
      <c r="A869" s="39"/>
      <c r="B869" s="39"/>
    </row>
    <row r="870" ht="15.75" customHeight="1">
      <c r="A870" s="39"/>
      <c r="B870" s="39"/>
    </row>
    <row r="871" ht="15.75" customHeight="1">
      <c r="A871" s="39"/>
      <c r="B871" s="39"/>
    </row>
    <row r="872" ht="15.75" customHeight="1">
      <c r="A872" s="39"/>
      <c r="B872" s="39"/>
    </row>
    <row r="873" ht="15.75" customHeight="1">
      <c r="A873" s="39"/>
      <c r="B873" s="39"/>
    </row>
    <row r="874" ht="15.75" customHeight="1">
      <c r="A874" s="39"/>
      <c r="B874" s="39"/>
    </row>
    <row r="875" ht="15.75" customHeight="1">
      <c r="A875" s="39"/>
      <c r="B875" s="39"/>
    </row>
    <row r="876" ht="15.75" customHeight="1">
      <c r="A876" s="39"/>
      <c r="B876" s="39"/>
    </row>
    <row r="877" ht="15.75" customHeight="1">
      <c r="A877" s="39"/>
      <c r="B877" s="39"/>
    </row>
    <row r="878" ht="15.75" customHeight="1">
      <c r="A878" s="39"/>
      <c r="B878" s="39"/>
    </row>
    <row r="879" ht="15.75" customHeight="1">
      <c r="A879" s="39"/>
      <c r="B879" s="39"/>
    </row>
    <row r="880" ht="15.75" customHeight="1">
      <c r="A880" s="39"/>
      <c r="B880" s="39"/>
    </row>
    <row r="881" ht="15.75" customHeight="1">
      <c r="A881" s="39"/>
      <c r="B881" s="39"/>
    </row>
    <row r="882" ht="15.75" customHeight="1">
      <c r="A882" s="39"/>
      <c r="B882" s="39"/>
    </row>
    <row r="883" ht="15.75" customHeight="1">
      <c r="A883" s="39"/>
      <c r="B883" s="39"/>
    </row>
    <row r="884" ht="15.75" customHeight="1">
      <c r="A884" s="39"/>
      <c r="B884" s="39"/>
    </row>
    <row r="885" ht="15.75" customHeight="1">
      <c r="A885" s="39"/>
      <c r="B885" s="39"/>
    </row>
    <row r="886" ht="15.75" customHeight="1">
      <c r="A886" s="39"/>
      <c r="B886" s="39"/>
    </row>
    <row r="887" ht="15.75" customHeight="1">
      <c r="A887" s="39"/>
      <c r="B887" s="39"/>
    </row>
    <row r="888" ht="15.75" customHeight="1">
      <c r="A888" s="39"/>
      <c r="B888" s="39"/>
    </row>
    <row r="889" ht="15.75" customHeight="1">
      <c r="A889" s="39"/>
      <c r="B889" s="39"/>
    </row>
    <row r="890" ht="15.75" customHeight="1">
      <c r="A890" s="39"/>
      <c r="B890" s="39"/>
    </row>
    <row r="891" ht="15.75" customHeight="1">
      <c r="A891" s="39"/>
      <c r="B891" s="39"/>
    </row>
    <row r="892" ht="15.75" customHeight="1">
      <c r="A892" s="39"/>
      <c r="B892" s="39"/>
    </row>
    <row r="893" ht="15.75" customHeight="1">
      <c r="A893" s="39"/>
      <c r="B893" s="39"/>
    </row>
    <row r="894" ht="15.75" customHeight="1">
      <c r="A894" s="39"/>
      <c r="B894" s="39"/>
    </row>
    <row r="895" ht="15.75" customHeight="1">
      <c r="A895" s="39"/>
      <c r="B895" s="39"/>
    </row>
    <row r="896" ht="15.75" customHeight="1">
      <c r="A896" s="39"/>
      <c r="B896" s="39"/>
    </row>
    <row r="897" ht="15.75" customHeight="1">
      <c r="A897" s="39"/>
      <c r="B897" s="39"/>
    </row>
    <row r="898" ht="15.75" customHeight="1">
      <c r="A898" s="39"/>
      <c r="B898" s="39"/>
    </row>
    <row r="899" ht="15.75" customHeight="1">
      <c r="A899" s="39"/>
      <c r="B899" s="39"/>
    </row>
    <row r="900" ht="15.75" customHeight="1">
      <c r="A900" s="39"/>
      <c r="B900" s="39"/>
    </row>
    <row r="901" ht="15.75" customHeight="1">
      <c r="A901" s="39"/>
      <c r="B901" s="39"/>
    </row>
    <row r="902" ht="15.75" customHeight="1">
      <c r="A902" s="39"/>
      <c r="B902" s="39"/>
    </row>
    <row r="903" ht="15.75" customHeight="1">
      <c r="A903" s="39"/>
      <c r="B903" s="39"/>
    </row>
    <row r="904" ht="15.75" customHeight="1">
      <c r="A904" s="39"/>
      <c r="B904" s="39"/>
    </row>
    <row r="905" ht="15.75" customHeight="1">
      <c r="A905" s="39"/>
      <c r="B905" s="39"/>
    </row>
    <row r="906" ht="15.75" customHeight="1">
      <c r="A906" s="39"/>
      <c r="B906" s="39"/>
    </row>
    <row r="907" ht="15.75" customHeight="1">
      <c r="A907" s="39"/>
      <c r="B907" s="39"/>
    </row>
    <row r="908" ht="15.75" customHeight="1">
      <c r="A908" s="39"/>
      <c r="B908" s="39"/>
    </row>
    <row r="909" ht="15.75" customHeight="1">
      <c r="A909" s="39"/>
      <c r="B909" s="39"/>
    </row>
    <row r="910" ht="15.75" customHeight="1">
      <c r="A910" s="39"/>
      <c r="B910" s="39"/>
    </row>
    <row r="911" ht="15.75" customHeight="1">
      <c r="A911" s="39"/>
      <c r="B911" s="39"/>
    </row>
    <row r="912" ht="15.75" customHeight="1">
      <c r="A912" s="39"/>
      <c r="B912" s="39"/>
    </row>
    <row r="913" ht="15.75" customHeight="1">
      <c r="A913" s="39"/>
      <c r="B913" s="39"/>
    </row>
    <row r="914" ht="15.75" customHeight="1">
      <c r="A914" s="39"/>
      <c r="B914" s="39"/>
    </row>
    <row r="915" ht="15.75" customHeight="1">
      <c r="A915" s="39"/>
      <c r="B915" s="39"/>
    </row>
    <row r="916" ht="15.75" customHeight="1">
      <c r="A916" s="39"/>
      <c r="B916" s="39"/>
    </row>
    <row r="917" ht="15.75" customHeight="1">
      <c r="A917" s="39"/>
      <c r="B917" s="39"/>
    </row>
    <row r="918" ht="15.75" customHeight="1">
      <c r="A918" s="39"/>
      <c r="B918" s="39"/>
    </row>
    <row r="919" ht="15.75" customHeight="1">
      <c r="A919" s="39"/>
      <c r="B919" s="39"/>
    </row>
    <row r="920" ht="15.75" customHeight="1">
      <c r="A920" s="39"/>
      <c r="B920" s="39"/>
    </row>
    <row r="921" ht="15.75" customHeight="1">
      <c r="A921" s="39"/>
      <c r="B921" s="39"/>
    </row>
    <row r="922" ht="15.75" customHeight="1">
      <c r="A922" s="39"/>
      <c r="B922" s="39"/>
    </row>
    <row r="923" ht="15.75" customHeight="1">
      <c r="A923" s="39"/>
      <c r="B923" s="39"/>
    </row>
    <row r="924" ht="15.75" customHeight="1">
      <c r="A924" s="39"/>
      <c r="B924" s="39"/>
    </row>
    <row r="925" ht="15.75" customHeight="1">
      <c r="A925" s="39"/>
      <c r="B925" s="39"/>
    </row>
    <row r="926" ht="15.75" customHeight="1">
      <c r="A926" s="39"/>
      <c r="B926" s="39"/>
    </row>
    <row r="927" ht="15.75" customHeight="1">
      <c r="A927" s="39"/>
      <c r="B927" s="39"/>
    </row>
    <row r="928" ht="15.75" customHeight="1">
      <c r="A928" s="39"/>
      <c r="B928" s="39"/>
    </row>
    <row r="929" ht="15.75" customHeight="1">
      <c r="A929" s="39"/>
      <c r="B929" s="39"/>
    </row>
    <row r="930" ht="15.75" customHeight="1">
      <c r="A930" s="39"/>
      <c r="B930" s="39"/>
    </row>
    <row r="931" ht="15.75" customHeight="1">
      <c r="A931" s="39"/>
      <c r="B931" s="39"/>
    </row>
    <row r="932" ht="15.75" customHeight="1">
      <c r="A932" s="39"/>
      <c r="B932" s="39"/>
    </row>
    <row r="933" ht="15.75" customHeight="1">
      <c r="A933" s="39"/>
      <c r="B933" s="39"/>
    </row>
    <row r="934" ht="15.75" customHeight="1">
      <c r="A934" s="39"/>
      <c r="B934" s="39"/>
    </row>
    <row r="935" ht="15.75" customHeight="1">
      <c r="A935" s="39"/>
      <c r="B935" s="39"/>
    </row>
    <row r="936" ht="15.75" customHeight="1">
      <c r="A936" s="39"/>
      <c r="B936" s="39"/>
    </row>
    <row r="937" ht="15.75" customHeight="1">
      <c r="A937" s="39"/>
      <c r="B937" s="39"/>
    </row>
    <row r="938" ht="15.75" customHeight="1">
      <c r="A938" s="39"/>
      <c r="B938" s="39"/>
    </row>
    <row r="939" ht="15.75" customHeight="1">
      <c r="A939" s="39"/>
      <c r="B939" s="39"/>
    </row>
    <row r="940" ht="15.75" customHeight="1">
      <c r="A940" s="39"/>
      <c r="B940" s="39"/>
    </row>
    <row r="941" ht="15.75" customHeight="1">
      <c r="A941" s="39"/>
      <c r="B941" s="39"/>
    </row>
    <row r="942" ht="15.75" customHeight="1">
      <c r="A942" s="39"/>
      <c r="B942" s="39"/>
    </row>
    <row r="943" ht="15.75" customHeight="1">
      <c r="A943" s="39"/>
      <c r="B943" s="39"/>
    </row>
    <row r="944" ht="15.75" customHeight="1">
      <c r="A944" s="39"/>
      <c r="B944" s="39"/>
    </row>
    <row r="945" ht="15.75" customHeight="1">
      <c r="A945" s="39"/>
      <c r="B945" s="39"/>
    </row>
    <row r="946" ht="15.75" customHeight="1">
      <c r="A946" s="39"/>
      <c r="B946" s="39"/>
    </row>
    <row r="947" ht="15.75" customHeight="1">
      <c r="A947" s="39"/>
      <c r="B947" s="39"/>
    </row>
    <row r="948" ht="15.75" customHeight="1">
      <c r="A948" s="39"/>
      <c r="B948" s="39"/>
    </row>
    <row r="949" ht="15.75" customHeight="1">
      <c r="A949" s="39"/>
      <c r="B949" s="39"/>
    </row>
    <row r="950" ht="15.75" customHeight="1">
      <c r="A950" s="39"/>
      <c r="B950" s="39"/>
    </row>
    <row r="951" ht="15.75" customHeight="1">
      <c r="A951" s="39"/>
      <c r="B951" s="39"/>
    </row>
    <row r="952" ht="15.75" customHeight="1">
      <c r="A952" s="39"/>
      <c r="B952" s="39"/>
    </row>
    <row r="953" ht="15.75" customHeight="1">
      <c r="A953" s="39"/>
      <c r="B953" s="39"/>
    </row>
    <row r="954" ht="15.75" customHeight="1">
      <c r="A954" s="39"/>
      <c r="B954" s="39"/>
    </row>
    <row r="955" ht="15.75" customHeight="1">
      <c r="A955" s="39"/>
      <c r="B955" s="39"/>
    </row>
    <row r="956" ht="15.75" customHeight="1">
      <c r="A956" s="39"/>
      <c r="B956" s="39"/>
    </row>
    <row r="957" ht="15.75" customHeight="1">
      <c r="A957" s="39"/>
      <c r="B957" s="39"/>
    </row>
    <row r="958" ht="15.75" customHeight="1">
      <c r="A958" s="39"/>
      <c r="B958" s="39"/>
    </row>
    <row r="959" ht="15.75" customHeight="1">
      <c r="A959" s="39"/>
      <c r="B959" s="39"/>
    </row>
    <row r="960" ht="15.75" customHeight="1">
      <c r="A960" s="39"/>
      <c r="B960" s="39"/>
    </row>
    <row r="961" ht="15.75" customHeight="1">
      <c r="A961" s="39"/>
      <c r="B961" s="39"/>
    </row>
    <row r="962" ht="15.75" customHeight="1">
      <c r="A962" s="39"/>
      <c r="B962" s="39"/>
    </row>
    <row r="963" ht="15.75" customHeight="1">
      <c r="A963" s="39"/>
      <c r="B963" s="39"/>
    </row>
    <row r="964" ht="15.75" customHeight="1">
      <c r="A964" s="39"/>
      <c r="B964" s="39"/>
    </row>
    <row r="965" ht="15.75" customHeight="1">
      <c r="A965" s="39"/>
      <c r="B965" s="39"/>
    </row>
    <row r="966" ht="15.75" customHeight="1">
      <c r="A966" s="39"/>
      <c r="B966" s="39"/>
    </row>
    <row r="967" ht="15.75" customHeight="1">
      <c r="A967" s="39"/>
      <c r="B967" s="39"/>
    </row>
    <row r="968" ht="15.75" customHeight="1">
      <c r="A968" s="39"/>
      <c r="B968" s="39"/>
    </row>
    <row r="969" ht="15.75" customHeight="1">
      <c r="A969" s="39"/>
      <c r="B969" s="39"/>
    </row>
    <row r="970" ht="15.75" customHeight="1">
      <c r="A970" s="39"/>
      <c r="B970" s="39"/>
    </row>
    <row r="971" ht="15.75" customHeight="1">
      <c r="A971" s="39"/>
      <c r="B971" s="39"/>
    </row>
    <row r="972" ht="15.75" customHeight="1">
      <c r="A972" s="39"/>
      <c r="B972" s="39"/>
    </row>
    <row r="973" ht="15.75" customHeight="1">
      <c r="A973" s="39"/>
      <c r="B973" s="39"/>
    </row>
    <row r="974" ht="15.75" customHeight="1">
      <c r="A974" s="39"/>
      <c r="B974" s="39"/>
    </row>
    <row r="975" ht="15.75" customHeight="1">
      <c r="A975" s="39"/>
      <c r="B975" s="39"/>
    </row>
    <row r="976" ht="15.75" customHeight="1">
      <c r="A976" s="39"/>
      <c r="B976" s="39"/>
    </row>
    <row r="977" ht="15.75" customHeight="1">
      <c r="A977" s="39"/>
      <c r="B977" s="39"/>
    </row>
    <row r="978" ht="15.75" customHeight="1">
      <c r="A978" s="39"/>
      <c r="B978" s="39"/>
    </row>
    <row r="979" ht="15.75" customHeight="1">
      <c r="A979" s="39"/>
      <c r="B979" s="39"/>
    </row>
    <row r="980" ht="15.75" customHeight="1">
      <c r="A980" s="39"/>
      <c r="B980" s="39"/>
    </row>
    <row r="981" ht="15.75" customHeight="1">
      <c r="A981" s="39"/>
      <c r="B981" s="39"/>
    </row>
    <row r="982" ht="15.75" customHeight="1">
      <c r="A982" s="39"/>
      <c r="B982" s="39"/>
    </row>
    <row r="983" ht="15.75" customHeight="1">
      <c r="A983" s="39"/>
      <c r="B983" s="39"/>
    </row>
    <row r="984" ht="15.75" customHeight="1">
      <c r="A984" s="39"/>
      <c r="B984" s="39"/>
    </row>
    <row r="985" ht="15.75" customHeight="1">
      <c r="A985" s="39"/>
      <c r="B985" s="39"/>
    </row>
    <row r="986" ht="15.75" customHeight="1">
      <c r="A986" s="39"/>
      <c r="B986" s="39"/>
    </row>
    <row r="987" ht="15.75" customHeight="1">
      <c r="A987" s="39"/>
      <c r="B987" s="39"/>
    </row>
    <row r="988" ht="15.75" customHeight="1">
      <c r="A988" s="39"/>
      <c r="B988" s="39"/>
    </row>
    <row r="989" ht="15.75" customHeight="1">
      <c r="A989" s="39"/>
      <c r="B989" s="39"/>
    </row>
    <row r="990" ht="15.75" customHeight="1">
      <c r="A990" s="39"/>
      <c r="B990" s="39"/>
    </row>
    <row r="991" ht="15.75" customHeight="1">
      <c r="A991" s="39"/>
      <c r="B991" s="39"/>
    </row>
    <row r="992" ht="15.75" customHeight="1">
      <c r="A992" s="39"/>
      <c r="B992" s="39"/>
    </row>
    <row r="993" ht="15.75" customHeight="1">
      <c r="A993" s="39"/>
      <c r="B993" s="39"/>
    </row>
    <row r="994" ht="15.75" customHeight="1">
      <c r="A994" s="39"/>
      <c r="B994" s="39"/>
    </row>
    <row r="995" ht="15.75" customHeight="1">
      <c r="A995" s="39"/>
      <c r="B995" s="39"/>
    </row>
    <row r="996" ht="15.75" customHeight="1">
      <c r="A996" s="39"/>
      <c r="B996" s="39"/>
    </row>
    <row r="997" ht="15.75" customHeight="1">
      <c r="A997" s="39"/>
      <c r="B997" s="39"/>
    </row>
    <row r="998" ht="15.75" customHeight="1">
      <c r="A998" s="39"/>
      <c r="B998" s="39"/>
    </row>
    <row r="999" ht="15.75" customHeight="1">
      <c r="A999" s="39"/>
      <c r="B999" s="39"/>
    </row>
    <row r="1000" ht="15.75" customHeight="1">
      <c r="A1000" s="39"/>
      <c r="B1000" s="39"/>
    </row>
    <row r="1001" ht="15.75" customHeight="1">
      <c r="A1001" s="39"/>
      <c r="B1001" s="39"/>
    </row>
  </sheetData>
  <customSheetViews>
    <customSheetView guid="{DABFD473-5028-4312-9BF3-1ACEE5CA6811}" filter="1" showAutoFilter="1">
      <autoFilter ref="$A$15:$J$40">
        <filterColumn colId="1">
          <customFilters>
            <customFilter val="*1차*"/>
          </customFilters>
        </filterColumn>
      </autoFilter>
    </customSheetView>
    <customSheetView guid="{F1139BB5-BDC1-4214-B35F-C1E592A60C72}" filter="1" showAutoFilter="1">
      <autoFilter ref="$A$15:$J$40">
        <filterColumn colId="1">
          <customFilters>
            <customFilter val="*후속*"/>
          </customFilters>
        </filterColumn>
      </autoFilter>
    </customSheetView>
    <customSheetView guid="{F0FC89C1-4905-4FD4-A073-FE4E28A8B623}" filter="1" showAutoFilter="1">
      <autoFilter ref="$A$15:$J$40"/>
    </customSheetView>
  </customSheetViews>
  <mergeCells count="11">
    <mergeCell ref="A9:G9"/>
    <mergeCell ref="A10:G10"/>
    <mergeCell ref="A13:G13"/>
    <mergeCell ref="A14:G14"/>
    <mergeCell ref="A1:G1"/>
    <mergeCell ref="H1:J1"/>
    <mergeCell ref="A4:G4"/>
    <mergeCell ref="A5:G5"/>
    <mergeCell ref="A6:G6"/>
    <mergeCell ref="A7:G7"/>
    <mergeCell ref="A8:G8"/>
  </mergeCells>
  <conditionalFormatting sqref="B16:B40">
    <cfRule type="expression" dxfId="6" priority="1">
      <formula>RIGHT($B16,2)="P0"</formula>
    </cfRule>
  </conditionalFormatting>
  <conditionalFormatting sqref="B16:B40">
    <cfRule type="expression" dxfId="5" priority="2">
      <formula>RIGHT($B16,2)="P1"</formula>
    </cfRule>
  </conditionalFormatting>
  <conditionalFormatting sqref="B16:B40">
    <cfRule type="expression" dxfId="4" priority="3">
      <formula>RIGHT($B16,2)="P2"</formula>
    </cfRule>
  </conditionalFormatting>
  <dataValidations>
    <dataValidation type="list" allowBlank="1" showErrorMessage="1" sqref="J16:J40">
      <formula1>"미확인,충족,부분 충족,미충족,범위 제외"</formula1>
    </dataValidation>
    <dataValidation allowBlank="1" showDropDown="1" sqref="A16:I40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 outlineLevelRow="1"/>
  <cols>
    <col customWidth="1" min="1" max="1" width="8.75"/>
    <col customWidth="1" min="2" max="2" width="11.38"/>
    <col customWidth="1" min="3" max="3" width="24.5"/>
    <col customWidth="1" min="4" max="4" width="34.5"/>
    <col customWidth="1" min="5" max="5" width="47.63"/>
    <col customWidth="1" min="6" max="6" width="17.63"/>
    <col customWidth="1" min="7" max="7" width="38.25"/>
    <col customWidth="1" min="8" max="8" width="15.13"/>
  </cols>
  <sheetData>
    <row r="1" ht="34.5" customHeight="1">
      <c r="A1" s="1" t="s">
        <v>0</v>
      </c>
    </row>
    <row r="2" ht="21.0" customHeight="1">
      <c r="A2" s="2" t="s">
        <v>1</v>
      </c>
    </row>
    <row r="3" ht="25.5" customHeight="1">
      <c r="A3" s="3" t="s">
        <v>2</v>
      </c>
    </row>
    <row r="4" ht="25.5" customHeight="1">
      <c r="A4" s="3" t="s">
        <v>3</v>
      </c>
    </row>
    <row r="5" ht="48.75" customHeight="1">
      <c r="A5" s="2" t="s">
        <v>4</v>
      </c>
    </row>
    <row r="6" ht="32.25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10</v>
      </c>
      <c r="G6" s="5" t="s">
        <v>11</v>
      </c>
      <c r="H6" s="4" t="s">
        <v>12</v>
      </c>
    </row>
    <row r="7" ht="68.25" customHeight="1">
      <c r="A7" s="6" t="s">
        <v>13</v>
      </c>
      <c r="B7" s="7" t="str">
        <f>IFERROR(__xludf.DUMMYFUNCTION("IFERROR(REGEXEXTRACT(INDEX('기능 점검표_v1'!$B$16:$B$40,MATCH($A7,'기능 점검표_v1'!$A$16:$A$40,0)),""P[012]""),""확인 필요"")"),"P1")</f>
        <v>P1</v>
      </c>
      <c r="C7" s="7" t="str">
        <f t="array" ref="C7">IFERROR(INDEX('기능 점검표_v1'!$C$16:$C$40,MATCH($A7,'기능 점검표_v1'!$A$16:$A$40,0)),"")</f>
        <v>LF-02 → LF-03
기존 일정 입력</v>
      </c>
      <c r="D7" s="7" t="str">
        <f t="array" ref="D7">IFERROR(INDEX('기능 점검표_v1'!$D$16:$D$40,MATCH($A7,'기능 점검표_v1'!$A$16:$A$40,0)),"")</f>
        <v>복합 자연어와 여러 기존 여행 일정을 반영할 수 있어야 합니다.</v>
      </c>
      <c r="E7" s="7" t="str">
        <f t="array" ref="E7">IFERROR(INDEX('기능 점검표_v1'!$E$16:$E$40,MATCH($A7,'기능 점검표_v1'!$A$16:$A$40,0)),"")</f>
        <v>복수 일정·제약·모호한 표현을 입력해주세요.
기대: 확인된 조건을 유지하고 충돌·모호한 핵심값을 임의 추정하지 않으며 필요한 부분만 확인합니다.</v>
      </c>
      <c r="F7" s="11" t="str">
        <f>IFERROR(__xludf.DUMMYFUNCTION("IF($A7=""QA-C02"",IFERROR(REGEXEXTRACT(INDEX('기능 점검표_v1'!$F$16:$F$40,MATCH($A7,'기능 점검표_v1'!$A$16:$A$40,0)),""후속[:：] *([가-힣 ]+)""),""미확인""),IFERROR(INDEX('기능 점검표_v1'!$J$16:$J$40,MATCH($A7,'기능 점검표_v1'!$A$16:$A$40,0)),""미확인""))"),"미확인")</f>
        <v>미확인</v>
      </c>
      <c r="G7" s="12" t="s">
        <v>17</v>
      </c>
      <c r="H7" s="15" t="s">
        <v>18</v>
      </c>
    </row>
    <row r="8" ht="68.25" customHeight="1">
      <c r="A8" s="6" t="s">
        <v>21</v>
      </c>
      <c r="B8" s="7" t="str">
        <f>IFERROR(__xludf.DUMMYFUNCTION("IFERROR(REGEXEXTRACT(INDEX('기능 점검표_v1'!$B$16:$B$40,MATCH($A8,'기능 점검표_v1'!$A$16:$A$40,0)),""P[012]""),""확인 필요"")"),"P1")</f>
        <v>P1</v>
      </c>
      <c r="C8" s="7" t="str">
        <f t="array" ref="C8">IFERROR(INDEX('기능 점검표_v1'!$C$16:$C$40,MATCH($A8,'기능 점검표_v1'!$A$16:$A$40,0)),"")</f>
        <v>LF-02 → LF-03 통합 지도
위치·경로 대체 안내</v>
      </c>
      <c r="D8" s="7" t="str">
        <f t="array" ref="D8">IFERROR(INDEX('기능 점검표_v1'!$D$16:$D$40,MATCH($A8,'기능 점검표_v1'!$A$16:$A$40,0)),"")</f>
        <v>위치 정확도나 신뢰 가능한 경로정보가 부족해도 적절한 대체 수단을 제공해야 합니다.</v>
      </c>
      <c r="E8" s="7" t="str">
        <f t="array" ref="E8">IFERROR(INDEX('기능 점검표_v1'!$E$16:$E$40,MATCH($A8,'기능 점검표_v1'!$A$16:$A$40,0)),"")</f>
        <v>GPS 정확도 저하, 실제 도보 경로선·이동시간 미확인 상황을 확인해주세요.
기대: 미확인 경로를 실제 경로처럼 표시하지 않고 출발점 수정·공식/외부 지도 확인 등 가능한 대체 수단을 제공합니다.</v>
      </c>
      <c r="F8" s="11" t="str">
        <f>IFERROR(__xludf.DUMMYFUNCTION("IF($A8=""QA-C02"",IFERROR(REGEXEXTRACT(INDEX('기능 점검표_v1'!$F$16:$F$40,MATCH($A8,'기능 점검표_v1'!$A$16:$A$40,0)),""후속[:：] *([가-힣 ]+)""),""미확인""),IFERROR(INDEX('기능 점검표_v1'!$J$16:$J$40,MATCH($A8,'기능 점검표_v1'!$A$16:$A$40,0)),""미확인""))"),"미확인")</f>
        <v>미확인</v>
      </c>
      <c r="G8" s="12" t="s">
        <v>29</v>
      </c>
      <c r="H8" s="15" t="s">
        <v>18</v>
      </c>
    </row>
    <row r="9" ht="68.25" customHeight="1">
      <c r="A9" s="6" t="s">
        <v>31</v>
      </c>
      <c r="B9" s="7" t="str">
        <f>IFERROR(__xludf.DUMMYFUNCTION("IFERROR(REGEXEXTRACT(INDEX('기능 점검표_v1'!$B$16:$B$40,MATCH($A9,'기능 점검표_v1'!$A$16:$A$40,0)),""P[012]""),""확인 필요"")"),"P1")</f>
        <v>P1</v>
      </c>
      <c r="C9" s="7" t="str">
        <f t="array" ref="C9">IFERROR(INDEX('기능 점검표_v1'!$C$16:$C$40,MATCH($A9,'기능 점검표_v1'!$A$16:$A$40,0)),"")</f>
        <v>LF-04·05·08
장소 제외·조건 변경</v>
      </c>
      <c r="D9" s="7" t="str">
        <f t="array" ref="D9">IFERROR(INDEX('기능 점검표_v1'!$D$16:$D$40,MATCH($A9,'기능 점검표_v1'!$A$16:$A$40,0)),"")</f>
        <v>장소 제외·조건 변경 후 유효한 루트를 재구성할 수 있어야 합니다.</v>
      </c>
      <c r="E9" s="7" t="str">
        <f t="array" ref="E9">IFERROR(INDEX('기능 점검표_v1'!$E$16:$E$40,MATCH($A9,'기능 점검표_v1'!$A$16:$A$40,0)),"")</f>
        <v>장소 하나를 제외하거나 가용시간 등을 수정해 재구성해주세요.
기대: 수정하지 않은 유효 입력을 유지하고 제외 장소를 임의 재삽입하지 않으며 시간·이동·운영·비용을 재판단합니다.</v>
      </c>
      <c r="F9" s="11" t="str">
        <f>IFERROR(__xludf.DUMMYFUNCTION("IF($A9=""QA-C02"",IFERROR(REGEXEXTRACT(INDEX('기능 점검표_v1'!$F$16:$F$40,MATCH($A9,'기능 점검표_v1'!$A$16:$A$40,0)),""후속[:：] *([가-힣 ]+)""),""미확인""),IFERROR(INDEX('기능 점검표_v1'!$J$16:$J$40,MATCH($A9,'기능 점검표_v1'!$A$16:$A$40,0)),""미확인""))"),"미확인")</f>
        <v>미확인</v>
      </c>
      <c r="G9" s="12" t="s">
        <v>36</v>
      </c>
      <c r="H9" s="15" t="s">
        <v>18</v>
      </c>
    </row>
    <row r="10" ht="68.25" customHeight="1">
      <c r="A10" s="6" t="s">
        <v>37</v>
      </c>
      <c r="B10" s="7" t="str">
        <f>IFERROR(__xludf.DUMMYFUNCTION("IFERROR(REGEXEXTRACT(INDEX('기능 점검표_v1'!$B$16:$B$40,MATCH($A10,'기능 점검표_v1'!$A$16:$A$40,0)),""P[012]""),""확인 필요"")"),"P0")</f>
        <v>P0</v>
      </c>
      <c r="C10" s="7" t="str">
        <f t="array" ref="C10">IFERROR(INDEX('기능 점검표_v1'!$C$16:$C$40,MATCH($A10,'기능 점검표_v1'!$A$16:$A$40,0)),"")</f>
        <v>LF-05·08·09
실패 복구·상태 보존</v>
      </c>
      <c r="D10" s="7" t="str">
        <f t="array" ref="D10">IFERROR(INDEX('기능 점검표_v1'!$D$16:$D$40,MATCH($A10,'기능 점검표_v1'!$A$16:$A$40,0)),"")</f>
        <v>재구성 실패 후 이전 조건·루트·확정 선택을 잃지 않고 복구할 수 있어야 합니다.</v>
      </c>
      <c r="E10" s="7" t="str">
        <f t="array" ref="E10">IFERROR(INDEX('기능 점검표_v1'!$E$16:$E$40,MATCH($A10,'기능 점검표_v1'!$A$16:$A$40,0)),"")</f>
        <v>새 루트를 만들지 못하는 상황에서 이전 루트·조건으로 돌아가주세요.
기대: 이전 결과를 새 조건에 맞는 정상 결과로 오인시키지 않고 명시적 선택 없이 기존 확정 루트를 교체·삭제하지 않습니다.</v>
      </c>
      <c r="F10" s="11" t="str">
        <f>IFERROR(__xludf.DUMMYFUNCTION("IF($A10=""QA-C02"",IFERROR(REGEXEXTRACT(INDEX('기능 점검표_v1'!$F$16:$F$40,MATCH($A10,'기능 점검표_v1'!$A$16:$A$40,0)),""후속[:：] *([가-힣 ]+)""),""미확인""),IFERROR(INDEX('기능 점검표_v1'!$J$16:$J$40,MATCH($A10,'기능 점검표_v1'!$A$16:$A$40,0)),""미확인""))"),"미확인")</f>
        <v>미확인</v>
      </c>
      <c r="G10" s="12" t="s">
        <v>41</v>
      </c>
      <c r="H10" s="15" t="s">
        <v>18</v>
      </c>
    </row>
    <row r="11" ht="68.25" customHeight="1">
      <c r="A11" s="6" t="s">
        <v>43</v>
      </c>
      <c r="B11" s="7" t="str">
        <f>IFERROR(__xludf.DUMMYFUNCTION("IFERROR(REGEXEXTRACT(INDEX('기능 점검표_v1'!$B$16:$B$40,MATCH($A11,'기능 점검표_v1'!$A$16:$A$40,0)),""P[012]""),""확인 필요"")"),"P1")</f>
        <v>P1</v>
      </c>
      <c r="C11" s="7" t="str">
        <f t="array" ref="C11">IFERROR(INDEX('기능 점검표_v1'!$C$16:$C$40,MATCH($A11,'기능 점검표_v1'!$A$16:$A$40,0)),"")</f>
        <v>LF-04·05·08 → 로그인
B 로그인 경계</v>
      </c>
      <c r="D11" s="7" t="str">
        <f t="array" ref="D11">IFERROR(INDEX('기능 점검표_v1'!$D$16:$D$40,MATCH($A11,'기능 점검표_v1'!$A$16:$A$40,0)),"")</f>
        <v>비회원에게 허용되는 현재 루트 작업과 새 후보 조합 생성을 구분해야 합니다.</v>
      </c>
      <c r="E11" s="7" t="str">
        <f t="array" ref="E11">IFERROR(INDEX('기능 점검표_v1'!$E$16:$E$40,MATCH($A11,'기능 점검표_v1'!$A$16:$A$40,0)),"")</f>
        <v>첫 생성·확정, 현재 루트 수정·복구, 새 장소 조합 요청, 로그인 취소를 확인해주세요.
기대: 비회원 첫 생성·선택·현재 루트 편집을 허용하고 새 후보 조합 생성 직전에만 로그인 유도합니다. 취소 시 기존 상태를 유지합니다.</v>
      </c>
      <c r="F11" s="11" t="str">
        <f>IFERROR(__xludf.DUMMYFUNCTION("IF($A11=""QA-C02"",IFERROR(REGEXEXTRACT(INDEX('기능 점검표_v1'!$F$16:$F$40,MATCH($A11,'기능 점검표_v1'!$A$16:$A$40,0)),""후속[:：] *([가-힣 ]+)""),""미확인""),IFERROR(INDEX('기능 점검표_v1'!$J$16:$J$40,MATCH($A11,'기능 점검표_v1'!$A$16:$A$40,0)),""미확인""))"),"미확인")</f>
        <v>미확인</v>
      </c>
      <c r="G11" s="12" t="s">
        <v>52</v>
      </c>
      <c r="H11" s="15" t="s">
        <v>18</v>
      </c>
    </row>
    <row r="12" ht="68.25" customHeight="1">
      <c r="A12" s="6" t="s">
        <v>23</v>
      </c>
      <c r="B12" s="7" t="str">
        <f>IFERROR(__xludf.DUMMYFUNCTION("IFERROR(REGEXEXTRACT(INDEX('기능 점검표_v1'!$B$16:$B$40,MATCH($A12,'기능 점검표_v1'!$A$16:$A$40,0)),""P[012]""),""확인 필요"")"),"P1")</f>
        <v>P1</v>
      </c>
      <c r="C12" s="7" t="str">
        <f t="array" ref="C12">IFERROR(INDEX('기능 점검표_v1'!$C$16:$C$40,MATCH($A12,'기능 점검표_v1'!$A$16:$A$40,0)),"")</f>
        <v>A·B 추천 요청·결과 생성
시스템 오류·재시도</v>
      </c>
      <c r="D12" s="7" t="str">
        <f t="array" ref="D12">IFERROR(INDEX('기능 점검표_v1'!$D$16:$D$40,MATCH($A12,'기능 점검표_v1'!$A$16:$A$40,0)),"")</f>
        <v>시스템 실패 원인을 구분하고 재시도하거나 복귀할 수 있어야 합니다.</v>
      </c>
      <c r="E12" s="7" t="str">
        <f t="array" ref="E12">IFERROR(INDEX('기능 점검표_v1'!$E$16:$E$40,MATCH($A12,'기능 점검표_v1'!$A$16:$A$40,0)),"")</f>
        <v>1차: 대표 시스템 처리 오류 1건을 재현해주세요. 무한 로딩 없이 오류 안내·재시도 또는 복귀가 가능해야 합니다.
후속: AI 처리 실패·외부 API 오류·네트워크 장애를 구분하여 상세 대응을 확인해주세요.</v>
      </c>
      <c r="F12" s="11" t="str">
        <f>IFERROR(__xludf.DUMMYFUNCTION("IF($A12=""QA-C02"",IFERROR(REGEXEXTRACT(INDEX('기능 점검표_v1'!$F$16:$F$40,MATCH($A12,'기능 점검표_v1'!$A$16:$A$40,0)),""후속[:：] *([가-힣 ]+)""),""미확인""),IFERROR(INDEX('기능 점검표_v1'!$J$16:$J$40,MATCH($A12,'기능 점검표_v1'!$A$16:$A$40,0)),""미확인""))"),"미확인")</f>
        <v>미확인</v>
      </c>
      <c r="G12" s="36" t="s">
        <v>62</v>
      </c>
      <c r="H12" s="15" t="s">
        <v>18</v>
      </c>
    </row>
    <row r="13" ht="68.25" customHeight="1">
      <c r="A13" s="6" t="s">
        <v>63</v>
      </c>
      <c r="B13" s="7" t="str">
        <f>IFERROR(__xludf.DUMMYFUNCTION("IFERROR(REGEXEXTRACT(INDEX('기능 점검표_v1'!$B$16:$B$40,MATCH($A13,'기능 점검표_v1'!$A$16:$A$40,0)),""P[012]""),""확인 필요"")"),"P2")</f>
        <v>P2</v>
      </c>
      <c r="C13" s="7" t="str">
        <f t="array" ref="C13">IFERROR(INDEX('기능 점검표_v1'!$C$16:$C$40,MATCH($A13,'기능 점검표_v1'!$A$16:$A$40,0)),"")</f>
        <v>A·B·로그인 주요 모바일 화면</v>
      </c>
      <c r="D13" s="7" t="str">
        <f t="array" ref="D13">IFERROR(INDEX('기능 점검표_v1'!$D$16:$D$40,MATCH($A13,'기능 점검표_v1'!$A$16:$A$40,0)),"")</f>
        <v>키보드·뒤로가기·지도 제스처·화면 크기 변화에서도 안정적으로 사용할 수 있어야 합니다.</v>
      </c>
      <c r="E13" s="7" t="str">
        <f t="array" ref="E13">IFERROR(INDEX('기능 점검표_v1'!$E$16:$E$40,MATCH($A13,'기능 점검표_v1'!$A$16:$A$40,0)),"")</f>
        <v>키보드 가림, 뒤로가기 상태 손실, 지도·카드 조작 충돌, 작은 화면의 잘림을 확인해주세요.
기대: 입력·주요 버튼을 사용할 수 있고 중요 정보·저장 상태가 의도치 않게 손실되지 않습니다.</v>
      </c>
      <c r="F13" s="11" t="str">
        <f>IFERROR(__xludf.DUMMYFUNCTION("IF($A13=""QA-C02"",IFERROR(REGEXEXTRACT(INDEX('기능 점검표_v1'!$F$16:$F$40,MATCH($A13,'기능 점검표_v1'!$A$16:$A$40,0)),""후속[:：] *([가-힣 ]+)""),""미확인""),IFERROR(INDEX('기능 점검표_v1'!$J$16:$J$40,MATCH($A13,'기능 점검표_v1'!$A$16:$A$40,0)),""미확인""))"),"미확인")</f>
        <v>미확인</v>
      </c>
      <c r="G13" s="12" t="s">
        <v>72</v>
      </c>
      <c r="H13" s="15" t="s">
        <v>18</v>
      </c>
    </row>
  </sheetData>
  <autoFilter ref="$A$6:$H$13"/>
  <mergeCells count="5">
    <mergeCell ref="A1:H1"/>
    <mergeCell ref="A2:H2"/>
    <mergeCell ref="A3:H3"/>
    <mergeCell ref="A4:H4"/>
    <mergeCell ref="A5:H5"/>
  </mergeCells>
  <conditionalFormatting sqref="B7:B13">
    <cfRule type="expression" dxfId="4" priority="1" stopIfTrue="1">
      <formula>$B7="P2"</formula>
    </cfRule>
  </conditionalFormatting>
  <conditionalFormatting sqref="B7:B13">
    <cfRule type="expression" dxfId="5" priority="2" stopIfTrue="1">
      <formula>$B7="P1"</formula>
    </cfRule>
  </conditionalFormatting>
  <conditionalFormatting sqref="B7:B13">
    <cfRule type="expression" dxfId="6" priority="3" stopIfTrue="1">
      <formula>$B7="P0"</formula>
    </cfRule>
  </conditionalFormatting>
  <hyperlinks>
    <hyperlink display="원본 항목 보기" location="'기능 점검표_v1'!A24" ref="H7"/>
    <hyperlink display="원본 항목 보기" location="'기능 점검표_v1'!A25" ref="H8"/>
    <hyperlink display="원본 항목 보기" location="'기능 점검표_v1'!A31" ref="H9"/>
    <hyperlink display="원본 항목 보기" location="'기능 점검표_v1'!A32" ref="H10"/>
    <hyperlink display="원본 항목 보기" location="'기능 점검표_v1'!A37" ref="H11"/>
    <hyperlink display="원본 항목 보기" location="'기능 점검표_v1'!A39" ref="H12"/>
    <hyperlink display="원본 항목 보기" location="'기능 점검표_v1'!A40" ref="H13"/>
  </hyperlinks>
  <drawing r:id="rId1"/>
</worksheet>
</file>